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aza de date" sheetId="1" r:id="rId1"/>
    <sheet name="MaxMin" sheetId="4" r:id="rId2"/>
    <sheet name="Cantitate" sheetId="7" r:id="rId3"/>
    <sheet name="Salariu personal" sheetId="5" r:id="rId4"/>
    <sheet name="Ghid" sheetId="2" r:id="rId5"/>
  </sheets>
  <definedNames>
    <definedName name="_xlchart.v1.0" hidden="1">Cantitate!$C$5:$C$40</definedName>
    <definedName name="_xlchart.v1.1" hidden="1">Cantitate!$L$5:$L$40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5" l="1"/>
  <c r="I8" i="5"/>
  <c r="I9" i="5"/>
  <c r="K9" i="5" s="1"/>
  <c r="I10" i="5"/>
  <c r="I11" i="5"/>
  <c r="I13" i="5"/>
  <c r="I14" i="5"/>
  <c r="I15" i="5"/>
  <c r="I16" i="5"/>
  <c r="I17" i="5"/>
  <c r="I18" i="5"/>
  <c r="I19" i="5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O2" i="1"/>
  <c r="O7" i="1"/>
  <c r="L33" i="7"/>
  <c r="L29" i="7"/>
  <c r="L22" i="7"/>
  <c r="L16" i="7"/>
  <c r="L9" i="7"/>
  <c r="L5" i="7"/>
  <c r="J41" i="7"/>
  <c r="I41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H5" i="7"/>
  <c r="H6" i="7"/>
  <c r="J6" i="7" s="1"/>
  <c r="H7" i="7"/>
  <c r="J7" i="7" s="1"/>
  <c r="H8" i="7"/>
  <c r="J8" i="7" s="1"/>
  <c r="H9" i="7"/>
  <c r="J9" i="7" s="1"/>
  <c r="H10" i="7"/>
  <c r="J10" i="7" s="1"/>
  <c r="H11" i="7"/>
  <c r="J11" i="7" s="1"/>
  <c r="H12" i="7"/>
  <c r="J12" i="7" s="1"/>
  <c r="H13" i="7"/>
  <c r="J13" i="7" s="1"/>
  <c r="H14" i="7"/>
  <c r="J14" i="7" s="1"/>
  <c r="H15" i="7"/>
  <c r="J15" i="7" s="1"/>
  <c r="H16" i="7"/>
  <c r="J16" i="7" s="1"/>
  <c r="H17" i="7"/>
  <c r="J17" i="7" s="1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H31" i="7"/>
  <c r="J31" i="7" s="1"/>
  <c r="H32" i="7"/>
  <c r="J32" i="7" s="1"/>
  <c r="H33" i="7"/>
  <c r="J33" i="7" s="1"/>
  <c r="H34" i="7"/>
  <c r="J34" i="7" s="1"/>
  <c r="H35" i="7"/>
  <c r="J35" i="7" s="1"/>
  <c r="H36" i="7"/>
  <c r="J36" i="7" s="1"/>
  <c r="H37" i="7"/>
  <c r="J37" i="7" s="1"/>
  <c r="H38" i="7"/>
  <c r="J38" i="7" s="1"/>
  <c r="H39" i="7"/>
  <c r="J39" i="7" s="1"/>
  <c r="H40" i="7"/>
  <c r="J40" i="7" s="1"/>
  <c r="L10" i="4"/>
  <c r="L4" i="4"/>
  <c r="L5" i="4"/>
  <c r="L6" i="4"/>
  <c r="L7" i="4"/>
  <c r="L8" i="4"/>
  <c r="L9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J12" i="1"/>
  <c r="J4" i="1"/>
  <c r="J5" i="1"/>
  <c r="J6" i="1"/>
  <c r="J7" i="1"/>
  <c r="J8" i="1"/>
  <c r="J9" i="1"/>
  <c r="J11" i="1"/>
  <c r="J13" i="1"/>
  <c r="J14" i="1"/>
  <c r="J15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31" i="1"/>
  <c r="H31" i="1"/>
  <c r="O31" i="1"/>
  <c r="Q31" i="1" s="1"/>
  <c r="H21" i="1"/>
  <c r="H22" i="1"/>
  <c r="H23" i="1"/>
  <c r="H24" i="1"/>
  <c r="H25" i="1"/>
  <c r="H26" i="1"/>
  <c r="H27" i="1"/>
  <c r="H28" i="1"/>
  <c r="H29" i="1"/>
  <c r="H30" i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H18" i="1"/>
  <c r="H19" i="1"/>
  <c r="H20" i="1"/>
  <c r="O18" i="1"/>
  <c r="Q18" i="1" s="1"/>
  <c r="O19" i="1"/>
  <c r="Q19" i="1" s="1"/>
  <c r="O20" i="1"/>
  <c r="Q20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O3" i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Q17" i="1" s="1"/>
  <c r="E10" i="4"/>
  <c r="E20" i="5"/>
  <c r="D20" i="5"/>
  <c r="C20" i="5"/>
  <c r="I20" i="5" s="1"/>
  <c r="G8" i="5"/>
  <c r="G9" i="5"/>
  <c r="G10" i="5"/>
  <c r="G11" i="5"/>
  <c r="G12" i="5"/>
  <c r="G13" i="5"/>
  <c r="G14" i="5"/>
  <c r="G15" i="5"/>
  <c r="G16" i="5"/>
  <c r="G17" i="5"/>
  <c r="G18" i="5"/>
  <c r="G19" i="5"/>
  <c r="F8" i="5"/>
  <c r="J8" i="5" s="1"/>
  <c r="F9" i="5"/>
  <c r="J9" i="5" s="1"/>
  <c r="F10" i="5"/>
  <c r="J10" i="5" s="1"/>
  <c r="F11" i="5"/>
  <c r="J11" i="5" s="1"/>
  <c r="F12" i="5"/>
  <c r="J12" i="5" s="1"/>
  <c r="F13" i="5"/>
  <c r="J13" i="5" s="1"/>
  <c r="F14" i="5"/>
  <c r="J14" i="5" s="1"/>
  <c r="K14" i="5" s="1"/>
  <c r="F15" i="5"/>
  <c r="J15" i="5" s="1"/>
  <c r="F16" i="5"/>
  <c r="J16" i="5" s="1"/>
  <c r="F17" i="5"/>
  <c r="J17" i="5" s="1"/>
  <c r="F18" i="5"/>
  <c r="J18" i="5" s="1"/>
  <c r="K18" i="5" s="1"/>
  <c r="F19" i="5"/>
  <c r="J19" i="5" s="1"/>
  <c r="I34" i="4"/>
  <c r="J34" i="4"/>
  <c r="G34" i="4"/>
  <c r="H34" i="4"/>
  <c r="F34" i="4"/>
  <c r="E34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34" i="4" s="1"/>
  <c r="K24" i="4"/>
  <c r="K25" i="4"/>
  <c r="K26" i="4"/>
  <c r="K27" i="4"/>
  <c r="K28" i="4"/>
  <c r="K29" i="4"/>
  <c r="K30" i="4"/>
  <c r="K31" i="4"/>
  <c r="K32" i="4"/>
  <c r="K33" i="4"/>
  <c r="K13" i="5" l="1"/>
  <c r="K8" i="5"/>
  <c r="K16" i="5"/>
  <c r="K11" i="5"/>
  <c r="K17" i="5"/>
  <c r="K19" i="5"/>
  <c r="K15" i="5"/>
  <c r="K10" i="5"/>
  <c r="K12" i="5"/>
  <c r="S31" i="1"/>
  <c r="S27" i="1"/>
  <c r="S23" i="1"/>
  <c r="S11" i="1"/>
  <c r="S7" i="1"/>
  <c r="S3" i="1"/>
  <c r="S13" i="1"/>
  <c r="S29" i="1"/>
  <c r="S25" i="1"/>
  <c r="S21" i="1"/>
  <c r="S17" i="1"/>
  <c r="S9" i="1"/>
  <c r="S5" i="1"/>
  <c r="S12" i="1"/>
  <c r="S8" i="1"/>
  <c r="S4" i="1"/>
  <c r="S24" i="1"/>
  <c r="S16" i="1"/>
  <c r="S28" i="1"/>
  <c r="S20" i="1"/>
  <c r="S30" i="1"/>
  <c r="S26" i="1"/>
  <c r="S22" i="1"/>
  <c r="S18" i="1"/>
  <c r="S14" i="1"/>
  <c r="S10" i="1"/>
  <c r="S6" i="1"/>
  <c r="S2" i="1"/>
  <c r="S15" i="1"/>
  <c r="S19" i="1"/>
  <c r="F20" i="5"/>
  <c r="J20" i="5" s="1"/>
  <c r="K20" i="5" s="1"/>
  <c r="G20" i="5"/>
  <c r="L34" i="4"/>
  <c r="H41" i="7"/>
  <c r="J5" i="7"/>
  <c r="K41" i="7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<sst xmlns="http://schemas.openxmlformats.org/spreadsheetml/2006/main" count="398" uniqueCount="154">
  <si>
    <t>Locul de depozitare</t>
  </si>
  <si>
    <t>Unitate de masura</t>
  </si>
  <si>
    <t>Destinatie</t>
  </si>
  <si>
    <t>Denumire</t>
  </si>
  <si>
    <t>Produs</t>
  </si>
  <si>
    <t xml:space="preserve">Alimente </t>
  </si>
  <si>
    <t xml:space="preserve">Medicamente </t>
  </si>
  <si>
    <t>Varza</t>
  </si>
  <si>
    <t xml:space="preserve">Rosie </t>
  </si>
  <si>
    <t xml:space="preserve">Vitamin C </t>
  </si>
  <si>
    <t xml:space="preserve">Vitamin D </t>
  </si>
  <si>
    <t xml:space="preserve">Vit C lichid </t>
  </si>
  <si>
    <t>Transport</t>
  </si>
  <si>
    <t>Transport firma</t>
  </si>
  <si>
    <t>Personal fizic</t>
  </si>
  <si>
    <t>Curier</t>
  </si>
  <si>
    <t>Transport partener</t>
  </si>
  <si>
    <t xml:space="preserve">Bucuresti </t>
  </si>
  <si>
    <t xml:space="preserve">Cluj - Napoca </t>
  </si>
  <si>
    <t xml:space="preserve">Brasov </t>
  </si>
  <si>
    <t xml:space="preserve">Timisoare </t>
  </si>
  <si>
    <t>Alba - Iulia</t>
  </si>
  <si>
    <t xml:space="preserve">Locatie </t>
  </si>
  <si>
    <t xml:space="preserve">Nr.crt </t>
  </si>
  <si>
    <t>Denumire grup</t>
  </si>
  <si>
    <t>Rest</t>
  </si>
  <si>
    <t>Vopsea</t>
  </si>
  <si>
    <t>Materiale constructie</t>
  </si>
  <si>
    <t>Electrocasnice si Climitizare</t>
  </si>
  <si>
    <t>Data livrare</t>
  </si>
  <si>
    <t xml:space="preserve">Livrat </t>
  </si>
  <si>
    <t>Nelivrat</t>
  </si>
  <si>
    <t>Stare operatiuni</t>
  </si>
  <si>
    <t>Retur</t>
  </si>
  <si>
    <t>In asteptare</t>
  </si>
  <si>
    <t>Bauturi</t>
  </si>
  <si>
    <t xml:space="preserve">Constanta </t>
  </si>
  <si>
    <t xml:space="preserve">Craiova </t>
  </si>
  <si>
    <t xml:space="preserve">Galati  </t>
  </si>
  <si>
    <t xml:space="preserve">Ploiesti </t>
  </si>
  <si>
    <t xml:space="preserve">Oradea </t>
  </si>
  <si>
    <t xml:space="preserve">Arad </t>
  </si>
  <si>
    <t xml:space="preserve">Sibiu </t>
  </si>
  <si>
    <t xml:space="preserve">Targu - Mures </t>
  </si>
  <si>
    <t xml:space="preserve">Suceava </t>
  </si>
  <si>
    <t xml:space="preserve">Alba Iulia </t>
  </si>
  <si>
    <t xml:space="preserve">Vopsea Rosu </t>
  </si>
  <si>
    <t>Traversa 80</t>
  </si>
  <si>
    <t>mm</t>
  </si>
  <si>
    <t>Pungi</t>
  </si>
  <si>
    <t>pachet</t>
  </si>
  <si>
    <t>Bere negru</t>
  </si>
  <si>
    <t>buc</t>
  </si>
  <si>
    <t xml:space="preserve">buc/ml </t>
  </si>
  <si>
    <t>buc/l</t>
  </si>
  <si>
    <t>buc/kg</t>
  </si>
  <si>
    <t>Traversa 81</t>
  </si>
  <si>
    <t>Nr.crt</t>
  </si>
  <si>
    <t>Ianuarie</t>
  </si>
  <si>
    <t>Februarie</t>
  </si>
  <si>
    <t>Martie</t>
  </si>
  <si>
    <t>Aprilie</t>
  </si>
  <si>
    <t>Mai</t>
  </si>
  <si>
    <t>Iunie</t>
  </si>
  <si>
    <t>Data</t>
  </si>
  <si>
    <t>Total</t>
  </si>
  <si>
    <t>Region</t>
  </si>
  <si>
    <t>Bere Negru</t>
  </si>
  <si>
    <t>Vitamin C (lichid) 250</t>
  </si>
  <si>
    <t xml:space="preserve">Traversa 80 </t>
  </si>
  <si>
    <t xml:space="preserve">Pungi 5l </t>
  </si>
  <si>
    <t xml:space="preserve">Vopsea rosu 1l </t>
  </si>
  <si>
    <t xml:space="preserve">Bere Desprados </t>
  </si>
  <si>
    <t xml:space="preserve">Hartie proaspat </t>
  </si>
  <si>
    <t xml:space="preserve">Servetele </t>
  </si>
  <si>
    <t>Nord - Vest</t>
  </si>
  <si>
    <t xml:space="preserve">Centru </t>
  </si>
  <si>
    <t>Nord - Est</t>
  </si>
  <si>
    <t xml:space="preserve">Sud - Est </t>
  </si>
  <si>
    <t xml:space="preserve">Sud - Muntenie </t>
  </si>
  <si>
    <t>Bucuresti - Ilfov</t>
  </si>
  <si>
    <t xml:space="preserve">Sud - Vest Oltenie </t>
  </si>
  <si>
    <t>Nume si Prenume</t>
  </si>
  <si>
    <t>Zilele lucrate/luna</t>
  </si>
  <si>
    <t>Bani pe ora/RON</t>
  </si>
  <si>
    <t>Lucrate pe zi/ ORE</t>
  </si>
  <si>
    <t>Bani ptr ziua</t>
  </si>
  <si>
    <t>Ore lucrate /luna</t>
  </si>
  <si>
    <t>Plata ptr ore suplimentar</t>
  </si>
  <si>
    <t>Plata ptr ore lucrate pe weekend</t>
  </si>
  <si>
    <t>Salariu/RON</t>
  </si>
  <si>
    <t xml:space="preserve">Banane </t>
  </si>
  <si>
    <t>Morcov</t>
  </si>
  <si>
    <t>Salata Verde</t>
  </si>
  <si>
    <t xml:space="preserve"> Traversa 120</t>
  </si>
  <si>
    <t xml:space="preserve">Vin </t>
  </si>
  <si>
    <t xml:space="preserve">Vin alb </t>
  </si>
  <si>
    <t>Ceapa</t>
  </si>
  <si>
    <t>Ventilator cu picior</t>
  </si>
  <si>
    <t>Radiatr electric</t>
  </si>
  <si>
    <t>Masina de spalat</t>
  </si>
  <si>
    <t xml:space="preserve">Cana filtrate </t>
  </si>
  <si>
    <t>Masina electrica</t>
  </si>
  <si>
    <t>Bere Carlsberg</t>
  </si>
  <si>
    <t>Pret unitar/RON</t>
  </si>
  <si>
    <t>Cantitate kg</t>
  </si>
  <si>
    <t>Vandute kg</t>
  </si>
  <si>
    <t>Profit</t>
  </si>
  <si>
    <t>Medie valorica</t>
  </si>
  <si>
    <t>morcov</t>
  </si>
  <si>
    <t>Ian</t>
  </si>
  <si>
    <t>Feb</t>
  </si>
  <si>
    <t>Mar</t>
  </si>
  <si>
    <t>Apr</t>
  </si>
  <si>
    <t>Iun</t>
  </si>
  <si>
    <t>Cantitate venite</t>
  </si>
  <si>
    <t xml:space="preserve">Total </t>
  </si>
  <si>
    <t>Bere Neumarc</t>
  </si>
  <si>
    <t>Cosuri 5l</t>
  </si>
  <si>
    <t xml:space="preserve">Detergent 2l </t>
  </si>
  <si>
    <t xml:space="preserve">Detergent 5l </t>
  </si>
  <si>
    <t>Manusi M</t>
  </si>
  <si>
    <t>Rodie</t>
  </si>
  <si>
    <t>Struguri</t>
  </si>
  <si>
    <t>Sapun Lichid</t>
  </si>
  <si>
    <t>mm/buc</t>
  </si>
  <si>
    <t>l/buc</t>
  </si>
  <si>
    <t>kg/buc</t>
  </si>
  <si>
    <t>ml/buc</t>
  </si>
  <si>
    <t>Unitate masura</t>
  </si>
  <si>
    <t>Data de receptionate</t>
  </si>
  <si>
    <t>D - A</t>
  </si>
  <si>
    <t>D - B</t>
  </si>
  <si>
    <t>D - C</t>
  </si>
  <si>
    <t>D - D</t>
  </si>
  <si>
    <t>Cantitate de produs</t>
  </si>
  <si>
    <t>Cantitate Total kg</t>
  </si>
  <si>
    <t>Vandute kg/luna</t>
  </si>
  <si>
    <t>Pret receptie unitar/RON</t>
  </si>
  <si>
    <t>Cheltuieli</t>
  </si>
  <si>
    <t>Vandute/RON</t>
  </si>
  <si>
    <t>Ore lucrate suplimentar/luna</t>
  </si>
  <si>
    <t>Banii lucrate orele suplimenta</t>
  </si>
  <si>
    <t>Salariu Total</t>
  </si>
  <si>
    <t>30.02.21</t>
  </si>
  <si>
    <t>fgfg</t>
  </si>
  <si>
    <t>fgcg</t>
  </si>
  <si>
    <t>bcbc</t>
  </si>
  <si>
    <t>cvbcvb</t>
  </si>
  <si>
    <t>bcvbc</t>
  </si>
  <si>
    <t>vbc</t>
  </si>
  <si>
    <t>nchg</t>
  </si>
  <si>
    <t>vhv</t>
  </si>
  <si>
    <t>vjhv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</si>
</sst>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 applyAlignment="1">
      <alignment vertical="center"/>
    </xf>
    <xf numFmtId="0" fontId="0" fillId="3" borderId="1" xfId="0" applyFill="1" applyBorder="1"/>
    <xf numFmtId="0" fontId="0" fillId="2" borderId="1" xfId="0" applyFill="1" applyBorder="1"/>
    <xf numFmtId="0" fontId="0" fillId="6" borderId="0" xfId="0" applyFill="1"/>
    <xf numFmtId="0" fontId="0" fillId="7" borderId="1" xfId="0" applyFill="1" applyBorder="1"/>
    <xf numFmtId="0" fontId="0" fillId="8" borderId="1" xfId="0" applyFill="1" applyBorder="1"/>
    <xf numFmtId="0" fontId="0" fillId="10" borderId="0" xfId="0" applyFill="1"/>
    <xf numFmtId="0" fontId="0" fillId="4" borderId="1" xfId="0" applyFill="1" applyBorder="1"/>
    <xf numFmtId="0" fontId="0" fillId="12" borderId="0" xfId="0" applyFill="1"/>
    <xf numFmtId="0" fontId="0" fillId="5" borderId="1" xfId="0" applyFill="1" applyBorder="1"/>
    <xf numFmtId="0" fontId="0" fillId="11" borderId="1" xfId="0" applyFill="1" applyBorder="1"/>
    <xf numFmtId="14" fontId="0" fillId="0" borderId="0" xfId="0" applyNumberFormat="1"/>
    <xf numFmtId="0" fontId="0" fillId="9" borderId="1" xfId="0" applyFill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3" borderId="1" xfId="0" applyFill="1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0" fontId="0" fillId="0" borderId="0" xfId="0" applyNumberFormat="1"/>
    <xf numFmtId="0" fontId="0" fillId="16" borderId="1" xfId="0" applyFill="1" applyBorder="1" applyAlignment="1">
      <alignment wrapText="1"/>
    </xf>
    <xf numFmtId="10" fontId="0" fillId="17" borderId="1" xfId="0" applyNumberFormat="1" applyFill="1" applyBorder="1"/>
    <xf numFmtId="10" fontId="0" fillId="13" borderId="1" xfId="0" applyNumberFormat="1" applyFill="1" applyBorder="1"/>
    <xf numFmtId="0" fontId="0" fillId="18" borderId="0" xfId="0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 applyBorder="1"/>
    <xf numFmtId="0" fontId="0" fillId="3" borderId="3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/>
  </cellXfs>
  <cellStyles count="1">
    <cellStyle name="Обычный" xfId="0" builtinId="0"/>
  </cellStyles>
  <dxfs count="1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MaxMin!$E$3</c:f>
              <c:strCache>
                <c:ptCount val="1"/>
                <c:pt idx="0">
                  <c:v>Ianuarie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MaxMin!$E$34</c:f>
              <c:numCache>
                <c:formatCode>General</c:formatCode>
                <c:ptCount val="1"/>
                <c:pt idx="0">
                  <c:v>19212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5-44A0-999C-D1506A1362F9}"/>
            </c:ext>
          </c:extLst>
        </c:ser>
        <c:ser>
          <c:idx val="1"/>
          <c:order val="1"/>
          <c:tx>
            <c:strRef>
              <c:f>MaxMin!$F$3</c:f>
              <c:strCache>
                <c:ptCount val="1"/>
                <c:pt idx="0">
                  <c:v>Februarie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MaxMin!$F$34</c:f>
              <c:numCache>
                <c:formatCode>General</c:formatCode>
                <c:ptCount val="1"/>
                <c:pt idx="0">
                  <c:v>30311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5-44A0-999C-D1506A1362F9}"/>
            </c:ext>
          </c:extLst>
        </c:ser>
        <c:ser>
          <c:idx val="2"/>
          <c:order val="2"/>
          <c:tx>
            <c:strRef>
              <c:f>MaxMin!$G$3</c:f>
              <c:strCache>
                <c:ptCount val="1"/>
                <c:pt idx="0">
                  <c:v>Martie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MaxMin!$G$34</c:f>
              <c:numCache>
                <c:formatCode>General</c:formatCode>
                <c:ptCount val="1"/>
                <c:pt idx="0">
                  <c:v>39019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25-44A0-999C-D1506A1362F9}"/>
            </c:ext>
          </c:extLst>
        </c:ser>
        <c:ser>
          <c:idx val="3"/>
          <c:order val="3"/>
          <c:tx>
            <c:strRef>
              <c:f>MaxMin!$H$3</c:f>
              <c:strCache>
                <c:ptCount val="1"/>
                <c:pt idx="0">
                  <c:v>Aprilie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MaxMin!$H$34</c:f>
              <c:numCache>
                <c:formatCode>General</c:formatCode>
                <c:ptCount val="1"/>
                <c:pt idx="0">
                  <c:v>31988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25-44A0-999C-D1506A1362F9}"/>
            </c:ext>
          </c:extLst>
        </c:ser>
        <c:ser>
          <c:idx val="4"/>
          <c:order val="4"/>
          <c:tx>
            <c:strRef>
              <c:f>MaxMin!$I$3</c:f>
              <c:strCache>
                <c:ptCount val="1"/>
                <c:pt idx="0">
                  <c:v>Mai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MaxMin!$I$34</c:f>
              <c:numCache>
                <c:formatCode>General</c:formatCode>
                <c:ptCount val="1"/>
                <c:pt idx="0">
                  <c:v>12277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25-44A0-999C-D1506A1362F9}"/>
            </c:ext>
          </c:extLst>
        </c:ser>
        <c:ser>
          <c:idx val="5"/>
          <c:order val="5"/>
          <c:tx>
            <c:strRef>
              <c:f>MaxMin!$J$3</c:f>
              <c:strCache>
                <c:ptCount val="1"/>
                <c:pt idx="0">
                  <c:v>Iunie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MaxMin!$J$34</c:f>
              <c:numCache>
                <c:formatCode>General</c:formatCode>
                <c:ptCount val="1"/>
                <c:pt idx="0">
                  <c:v>24138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25-44A0-999C-D1506A13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0300952"/>
        <c:axId val="470298656"/>
      </c:barChart>
      <c:catAx>
        <c:axId val="470300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98656"/>
        <c:crosses val="autoZero"/>
        <c:auto val="1"/>
        <c:lblAlgn val="ctr"/>
        <c:lblOffset val="100"/>
        <c:noMultiLvlLbl val="0"/>
      </c:catAx>
      <c:valAx>
        <c:axId val="4702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0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x:rich>
      </cx:tx>
    </cx:title>
    <cx:plotArea>
      <cx:plotAreaRegion>
        <cx:series layoutId="clusteredColumn" uniqueId="{66BB57FF-583B-4ED0-A534-598A2402C57F}">
          <cx:dataId val="0"/>
          <cx:layoutPr>
            <cx:aggregation/>
          </cx:layoutPr>
          <cx:axisId val="1"/>
        </cx:series>
        <cx:series layoutId="paretoLine" ownerIdx="0" uniqueId="{BB101CB2-E6C4-482D-AF09-20DD19C9FCC7}">
          <cx:axisId val="2"/>
        </cx:series>
      </cx:plotAreaRegion>
      <cx:axis id="0">
        <cx:catScaling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92075</xdr:colOff>
      <xdr:row>13</xdr:row>
      <xdr:rowOff>57150</xdr:rowOff>
    </xdr:from>
    <xdr:to>
      <xdr:col>20</xdr:col>
      <xdr:colOff>457200</xdr:colOff>
      <xdr:row>27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222250</xdr:colOff>
      <xdr:row>17</xdr:row>
      <xdr:rowOff>152400</xdr:rowOff>
    </xdr:from>
    <xdr:to>
      <xdr:col>21</xdr:col>
      <xdr:colOff>571500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3" name="Таблица3" displayName="Таблица3" ref="A1:S31" totalsRowShown="0" headerRowDxfId="95" dataDxfId="94" headerRowBorderDxfId="92" tableBorderDxfId="93">
  <autoFilter ref="A1:S31"/>
  <tableColumns count="19">
    <tableColumn id="1" name="Nr.crt " dataDxfId="91"/>
    <tableColumn id="9" name="Produs" dataDxfId="90"/>
    <tableColumn id="2" name="Denumire grup" dataDxfId="89"/>
    <tableColumn id="5" name="Unitate masura" dataDxfId="88"/>
    <tableColumn id="3" name="Data de receptionate" dataDxfId="87"/>
    <tableColumn id="15" name="Data livrare" dataDxfId="86"/>
    <tableColumn id="4" name="Locul de depozitare" dataDxfId="85"/>
    <tableColumn id="11" name="Locatie " dataDxfId="84">
      <calculatedColumnFormula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calculatedColumnFormula>
    </tableColumn>
    <tableColumn id="6" name="Cantitate de produs" dataDxfId="83"/>
    <tableColumn id="16" name="Stare operatiuni" dataDxfId="82"/>
    <tableColumn id="7" name="Destinatie" dataDxfId="81"/>
    <tableColumn id="8" name="Pret receptie unitar/RON" dataDxfId="80"/>
    <tableColumn id="18" name="Cheltuieli" dataDxfId="54">
      <calculatedColumnFormula>Таблица3[[#This Row],[Pret receptie unitar/RON]]*Таблица3[[#This Row],[Cantitate de produs]]</calculatedColumnFormula>
    </tableColumn>
    <tableColumn id="10" name="Transport" dataDxfId="79"/>
    <tableColumn id="12" name="Cantitate Total kg" dataDxfId="76">
      <calculatedColumnFormula>Таблица3[[#This Row],[Cantitate de produs]]+20</calculatedColumnFormula>
    </tableColumn>
    <tableColumn id="13" name="Vandute kg/luna" dataDxfId="78"/>
    <tableColumn id="14" name="Rest" dataDxfId="77">
      <calculatedColumnFormula>Таблица3[[#This Row],[Cantitate Total kg]]-Таблица3[[#This Row],[Vandute kg/luna]]</calculatedColumnFormula>
    </tableColumn>
    <tableColumn id="17" name="Vandute/RON" dataDxfId="53">
      <calculatedColumnFormula>Таблица3[[#This Row],[Vandute kg/luna]]*(Таблица3[[#This Row],[Pret receptie unitar/RON]]+((Таблица3[[#This Row],[Pret receptie unitar/RON]]*25)/100))</calculatedColumnFormula>
    </tableColumn>
    <tableColumn id="19" name="Profit" dataDxfId="52">
      <calculatedColumnFormula>Таблица3[[#This Row],[Vandute/RON]]-Таблица3[[#This Row],[Cheltuieli]]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3:L34" totalsRowShown="0" headerRowDxfId="110" dataDxfId="109" headerRowBorderDxfId="118" tableBorderDxfId="119">
  <autoFilter ref="A3:L34"/>
  <tableColumns count="12">
    <tableColumn id="1" name="Nr.crt" dataDxfId="117"/>
    <tableColumn id="2" name="Produs" dataDxfId="116"/>
    <tableColumn id="3" name="Region" dataDxfId="115"/>
    <tableColumn id="10" name="Data" dataDxfId="108"/>
    <tableColumn id="4" name="Ianuarie" dataDxfId="114"/>
    <tableColumn id="5" name="Februarie" dataDxfId="113"/>
    <tableColumn id="6" name="Martie" dataDxfId="112"/>
    <tableColumn id="7" name="Aprilie" dataDxfId="111"/>
    <tableColumn id="8" name="Mai" dataDxfId="107"/>
    <tableColumn id="11" name="Iunie" dataDxfId="105"/>
    <tableColumn id="9" name="Total" dataDxfId="106">
      <calculatedColumnFormula>Таблица2[[#This Row],[Ianuarie]]+Таблица2[[#This Row],[Februarie]]+Таблица2[[#This Row],[Martie]]+Таблица2[[#This Row],[Aprilie]]+Таблица2[[#This Row],[Mai]]</calculatedColumnFormula>
    </tableColumn>
    <tableColumn id="12" name="Medie valorica" dataDxfId="75">
      <calculatedColumnFormula>ROUND(((Таблица2[[#This Row],[Ianuarie]]+Таблица2[[#This Row],[Februarie]]+Таблица2[[#This Row],[Martie]]+Таблица2[[#This Row],[Aprilie]]+Таблица2[[#This Row],[Mai]]+Таблица2[[#This Row],[Iunie]])/6),2)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1" name="Таблица11" displayName="Таблица11" ref="D4:K41" totalsRowCount="1" headerRowDxfId="73" dataDxfId="74" totalsRowDxfId="55" totalsRowBorderDxfId="64">
  <autoFilter ref="D4:K41"/>
  <tableColumns count="8">
    <tableColumn id="1" name="Produs" dataDxfId="72" totalsRowDxfId="63"/>
    <tableColumn id="2" name="Cantitate venite" dataDxfId="71" totalsRowDxfId="62"/>
    <tableColumn id="3" name="Data" dataDxfId="70" totalsRowDxfId="61"/>
    <tableColumn id="4" name="Pret unitar/RON" dataDxfId="69" totalsRowDxfId="60"/>
    <tableColumn id="5" name="Cantitate kg" totalsRowFunction="custom" dataDxfId="67" totalsRowDxfId="59">
      <calculatedColumnFormula>Таблица11[[#This Row],[Cantitate venite]]*20</calculatedColumnFormula>
      <totalsRowFormula>SUM(Таблица11[Cantitate kg])</totalsRowFormula>
    </tableColumn>
    <tableColumn id="6" name="Vandute kg" totalsRowFunction="custom" dataDxfId="68" totalsRowDxfId="58">
      <totalsRowFormula>SUM(Таблица11[Vandute kg])</totalsRowFormula>
    </tableColumn>
    <tableColumn id="7" name="Rest" totalsRowFunction="custom" dataDxfId="66" totalsRowDxfId="57">
      <calculatedColumnFormula>Таблица11[[#This Row],[Cantitate kg]]-Таблица11[[#This Row],[Vandute kg]]</calculatedColumnFormula>
      <totalsRowFormula>SUM(Таблица11[Vandute kg])</totalsRowFormula>
    </tableColumn>
    <tableColumn id="8" name="Profit" totalsRowFunction="custom" dataDxfId="65" totalsRowDxfId="56">
      <calculatedColumnFormula>Таблица11[[#This Row],[Pret unitar/RON]]*Таблица11[[#This Row],[Vandute kg]]</calculatedColumnFormula>
      <totalsRowFormula>SUM(Таблица11[Rest])</totalsRow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7:K20" totalsRowShown="0" dataDxfId="103">
  <autoFilter ref="A7:K20"/>
  <tableColumns count="11">
    <tableColumn id="1" name="Nr.crt" dataDxfId="101"/>
    <tableColumn id="2" name="Nume si Prenume" dataDxfId="100"/>
    <tableColumn id="3" name="Bani pe ora/RON" dataDxfId="99"/>
    <tableColumn id="4" name="Lucrate pe zi/ ORE" dataDxfId="98"/>
    <tableColumn id="5" name="Zilele lucrate/luna" dataDxfId="96"/>
    <tableColumn id="6" name="Bani ptr ziua" dataDxfId="97">
      <calculatedColumnFormula>Таблица4[[#This Row],[Bani pe ora/RON]]*Таблица4[[#This Row],[Lucrate pe zi/ ORE]]</calculatedColumnFormula>
    </tableColumn>
    <tableColumn id="7" name="Ore lucrate /luna" dataDxfId="102">
      <calculatedColumnFormula>Таблица4[[#This Row],[Lucrate pe zi/ ORE]]*Таблица4[[#This Row],[Zilele lucrate/luna]]</calculatedColumnFormula>
    </tableColumn>
    <tableColumn id="8" name="Ore lucrate suplimentar/luna" dataDxfId="104"/>
    <tableColumn id="11" name="Banii lucrate orele suplimenta" dataDxfId="50">
      <calculatedColumnFormula>(Таблица4[[#This Row],[Bani pe ora/RON]]*E4+Таблица4[[#This Row],[Bani pe ora/RON]])*Таблица4[[#This Row],[Ore lucrate suplimentar/luna]]</calculatedColumnFormula>
    </tableColumn>
    <tableColumn id="12" name="Salariu/RON" dataDxfId="51">
      <calculatedColumnFormula>Таблица4[[#This Row],[Zilele lucrate/luna]]*Таблица4[[#This Row],[Bani ptr ziua]]</calculatedColumnFormula>
    </tableColumn>
    <tableColumn id="13" name="Salariu Total" dataDxfId="49">
      <calculatedColumnFormula>Таблица4[[#This Row],[Banii lucrate orele suplimenta]]+Таблица4[[#This Row],[Salariu/RON]]</calculatedColumnFormula>
    </tableColumn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id="12" name="Таблица12" displayName="Таблица12" ref="K4:N5" insertRowShift="1" totalsRowShown="0">
  <autoFilter ref="K4:N5"/>
  <tableColumns count="4">
    <tableColumn id="1" name="fgfg"/>
    <tableColumn id="2" name="cvbcvb"/>
    <tableColumn id="3" name="bcvbc"/>
    <tableColumn id="4" name="vb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ro.wikipedia.org/wiki/Alba_Iu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T58"/>
  <sheetViews>
    <sheetView tabSelected="1" topLeftCell="F34" zoomScale="90" zoomScaleNormal="90" workbookViewId="0">
      <selection activeCell="S10" sqref="S10"/>
    </sheetView>
  </sheetViews>
  <sheetFormatPr defaultRowHeight="15" x14ac:dyDescent="0.25"/>
  <cols>
    <col min="1" max="1" width="4" customWidth="1"/>
    <col min="2" max="2" width="15.140625" customWidth="1"/>
    <col min="3" max="3" width="27" customWidth="1"/>
    <col min="4" max="4" width="10.140625" customWidth="1"/>
    <col min="5" max="5" width="21.85546875" customWidth="1"/>
    <col min="6" max="6" width="14.7109375" style="12" customWidth="1"/>
    <col min="7" max="7" width="19.28515625" customWidth="1"/>
    <col min="8" max="8" width="12.85546875" customWidth="1"/>
    <col min="9" max="9" width="20.7109375" customWidth="1"/>
    <col min="10" max="10" width="17.28515625" customWidth="1"/>
    <col min="11" max="11" width="15.85546875" customWidth="1"/>
    <col min="12" max="13" width="16.7109375" customWidth="1"/>
    <col min="14" max="14" width="18.42578125" customWidth="1"/>
    <col min="15" max="15" width="12.7109375" customWidth="1"/>
    <col min="16" max="16" width="11.7109375" customWidth="1"/>
    <col min="18" max="18" width="12" customWidth="1"/>
  </cols>
  <sheetData>
    <row r="1" spans="1:20" ht="34.5" customHeight="1" x14ac:dyDescent="0.25">
      <c r="A1" s="34" t="s">
        <v>23</v>
      </c>
      <c r="B1" s="34" t="s">
        <v>4</v>
      </c>
      <c r="C1" s="18" t="s">
        <v>24</v>
      </c>
      <c r="D1" s="34" t="s">
        <v>129</v>
      </c>
      <c r="E1" s="18" t="s">
        <v>130</v>
      </c>
      <c r="F1" s="19" t="s">
        <v>29</v>
      </c>
      <c r="G1" s="34" t="s">
        <v>0</v>
      </c>
      <c r="H1" s="34" t="s">
        <v>22</v>
      </c>
      <c r="I1" s="18" t="s">
        <v>135</v>
      </c>
      <c r="J1" s="18" t="s">
        <v>32</v>
      </c>
      <c r="K1" s="18" t="s">
        <v>2</v>
      </c>
      <c r="L1" s="34" t="s">
        <v>138</v>
      </c>
      <c r="M1" s="34" t="s">
        <v>139</v>
      </c>
      <c r="N1" s="18" t="s">
        <v>12</v>
      </c>
      <c r="O1" s="34" t="s">
        <v>136</v>
      </c>
      <c r="P1" s="34" t="s">
        <v>137</v>
      </c>
      <c r="Q1" s="18" t="s">
        <v>25</v>
      </c>
      <c r="R1" s="18" t="s">
        <v>140</v>
      </c>
      <c r="S1" s="1" t="s">
        <v>107</v>
      </c>
    </row>
    <row r="2" spans="1:20" x14ac:dyDescent="0.25">
      <c r="A2" s="14">
        <v>1</v>
      </c>
      <c r="B2" s="14" t="s">
        <v>7</v>
      </c>
      <c r="C2" s="14" t="s">
        <v>5</v>
      </c>
      <c r="D2" s="14" t="s">
        <v>55</v>
      </c>
      <c r="E2" s="15">
        <v>43904</v>
      </c>
      <c r="F2" s="16">
        <v>43905</v>
      </c>
      <c r="G2" s="14" t="s">
        <v>131</v>
      </c>
      <c r="H2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2" s="14">
        <v>10000</v>
      </c>
      <c r="J2" s="14" t="s">
        <v>33</v>
      </c>
      <c r="K2" s="14" t="s">
        <v>17</v>
      </c>
      <c r="L2" s="14">
        <v>150</v>
      </c>
      <c r="M2" s="14">
        <f>Таблица3[[#This Row],[Pret receptie unitar/RON]]*Таблица3[[#This Row],[Cantitate de produs]]</f>
        <v>1500000</v>
      </c>
      <c r="N2" s="14" t="s">
        <v>13</v>
      </c>
      <c r="O2" s="14">
        <f>Таблица3[[#This Row],[Cantitate de produs]]+20</f>
        <v>10020</v>
      </c>
      <c r="P2" s="35">
        <v>520</v>
      </c>
      <c r="Q2" s="14">
        <f>Таблица3[[#This Row],[Cantitate Total kg]]-Таблица3[[#This Row],[Vandute kg/luna]]</f>
        <v>9500</v>
      </c>
      <c r="R2" s="14">
        <f>Таблица3[[#This Row],[Vandute kg/luna]]*(Таблица3[[#This Row],[Pret receptie unitar/RON]]+((Таблица3[[#This Row],[Pret receptie unitar/RON]]*25)/100))</f>
        <v>97500</v>
      </c>
      <c r="S2" s="20">
        <f>Таблица3[[#This Row],[Vandute/RON]]-Таблица3[[#This Row],[Cheltuieli]]</f>
        <v>-1402500</v>
      </c>
      <c r="T2" s="23"/>
    </row>
    <row r="3" spans="1:20" x14ac:dyDescent="0.25">
      <c r="A3" s="14">
        <f>A2+1</f>
        <v>2</v>
      </c>
      <c r="B3" s="14" t="s">
        <v>8</v>
      </c>
      <c r="C3" s="14" t="s">
        <v>5</v>
      </c>
      <c r="D3" s="14" t="s">
        <v>55</v>
      </c>
      <c r="E3" s="15">
        <v>43966</v>
      </c>
      <c r="F3" s="16">
        <v>43998</v>
      </c>
      <c r="G3" s="14" t="s">
        <v>131</v>
      </c>
      <c r="H3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3" s="14">
        <v>800</v>
      </c>
      <c r="J3" s="14" t="s">
        <v>30</v>
      </c>
      <c r="K3" s="14" t="s">
        <v>18</v>
      </c>
      <c r="L3" s="14">
        <v>200</v>
      </c>
      <c r="M3" s="14">
        <f>Таблица3[[#This Row],[Pret receptie unitar/RON]]*Таблица3[[#This Row],[Cantitate de produs]]</f>
        <v>160000</v>
      </c>
      <c r="N3" s="14" t="s">
        <v>14</v>
      </c>
      <c r="O3" s="14">
        <f>Таблица3[[#This Row],[Cantitate de produs]]+20</f>
        <v>820</v>
      </c>
      <c r="P3" s="14">
        <v>56</v>
      </c>
      <c r="Q3" s="14">
        <f>Таблица3[[#This Row],[Cantitate Total kg]]-Таблица3[[#This Row],[Vandute kg/luna]]</f>
        <v>764</v>
      </c>
      <c r="R3" s="14">
        <f>Таблица3[[#This Row],[Vandute kg/luna]]*(Таблица3[[#This Row],[Pret receptie unitar/RON]]+((Таблица3[[#This Row],[Pret receptie unitar/RON]]*25)/100))</f>
        <v>14000</v>
      </c>
      <c r="S3" s="20">
        <f>Таблица3[[#This Row],[Vandute/RON]]-Таблица3[[#This Row],[Cheltuieli]]</f>
        <v>-146000</v>
      </c>
    </row>
    <row r="4" spans="1:20" x14ac:dyDescent="0.25">
      <c r="A4" s="14">
        <f t="shared" ref="A4:A31" si="0">A3+1</f>
        <v>3</v>
      </c>
      <c r="B4" s="14" t="s">
        <v>9</v>
      </c>
      <c r="C4" s="14" t="s">
        <v>6</v>
      </c>
      <c r="D4" s="14" t="s">
        <v>53</v>
      </c>
      <c r="E4" s="15">
        <v>44074</v>
      </c>
      <c r="F4" s="16">
        <v>44075</v>
      </c>
      <c r="G4" s="14" t="s">
        <v>132</v>
      </c>
      <c r="H4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4" s="14">
        <v>1500</v>
      </c>
      <c r="J4" s="14" t="str">
        <f>IF(Таблица3[[#This Row],[Data livrare]]&gt;Таблица3[[#This Row],[Data de receptionate]],Ghid!$D$15,Ghid!$D$16)</f>
        <v xml:space="preserve">Livrat </v>
      </c>
      <c r="K4" s="14" t="s">
        <v>20</v>
      </c>
      <c r="L4" s="14">
        <v>300</v>
      </c>
      <c r="M4" s="14">
        <f>Таблица3[[#This Row],[Pret receptie unitar/RON]]*Таблица3[[#This Row],[Cantitate de produs]]</f>
        <v>450000</v>
      </c>
      <c r="N4" s="14" t="s">
        <v>15</v>
      </c>
      <c r="O4" s="14">
        <f>Таблица3[[#This Row],[Cantitate de produs]]+20</f>
        <v>1520</v>
      </c>
      <c r="P4" s="14">
        <v>10</v>
      </c>
      <c r="Q4" s="14">
        <f>Таблица3[[#This Row],[Cantitate Total kg]]-Таблица3[[#This Row],[Vandute kg/luna]]</f>
        <v>1510</v>
      </c>
      <c r="R4" s="14">
        <f>Таблица3[[#This Row],[Vandute kg/luna]]*(Таблица3[[#This Row],[Pret receptie unitar/RON]]+((Таблица3[[#This Row],[Pret receptie unitar/RON]]*25)/100))</f>
        <v>3750</v>
      </c>
      <c r="S4" s="20">
        <f>Таблица3[[#This Row],[Vandute/RON]]-Таблица3[[#This Row],[Cheltuieli]]</f>
        <v>-446250</v>
      </c>
    </row>
    <row r="5" spans="1:20" x14ac:dyDescent="0.25">
      <c r="A5" s="14">
        <f t="shared" si="0"/>
        <v>4</v>
      </c>
      <c r="B5" s="14" t="s">
        <v>10</v>
      </c>
      <c r="C5" s="14" t="s">
        <v>6</v>
      </c>
      <c r="D5" s="14" t="s">
        <v>53</v>
      </c>
      <c r="E5" s="15">
        <v>44068</v>
      </c>
      <c r="F5" s="16"/>
      <c r="G5" s="14" t="s">
        <v>132</v>
      </c>
      <c r="H5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5" s="14">
        <v>600</v>
      </c>
      <c r="J5" s="14" t="str">
        <f>IF(Таблица3[[#This Row],[Data livrare]]&gt;Таблица3[[#This Row],[Data de receptionate]],Ghid!$D$15,Ghid!$D$16)</f>
        <v>Nelivrat</v>
      </c>
      <c r="K5" s="14" t="s">
        <v>19</v>
      </c>
      <c r="L5" s="14">
        <v>45</v>
      </c>
      <c r="M5" s="14">
        <f>Таблица3[[#This Row],[Pret receptie unitar/RON]]*Таблица3[[#This Row],[Cantitate de produs]]</f>
        <v>27000</v>
      </c>
      <c r="N5" s="14" t="s">
        <v>16</v>
      </c>
      <c r="O5" s="14">
        <f>Таблица3[[#This Row],[Cantitate de produs]]+20</f>
        <v>620</v>
      </c>
      <c r="P5" s="14">
        <v>45</v>
      </c>
      <c r="Q5" s="14">
        <f>Таблица3[[#This Row],[Cantitate Total kg]]-Таблица3[[#This Row],[Vandute kg/luna]]</f>
        <v>575</v>
      </c>
      <c r="R5" s="14">
        <f>Таблица3[[#This Row],[Vandute kg/luna]]*(Таблица3[[#This Row],[Pret receptie unitar/RON]]+((Таблица3[[#This Row],[Pret receptie unitar/RON]]*25)/100))</f>
        <v>2531.25</v>
      </c>
      <c r="S5" s="20">
        <f>Таблица3[[#This Row],[Vandute/RON]]-Таблица3[[#This Row],[Cheltuieli]]</f>
        <v>-24468.75</v>
      </c>
    </row>
    <row r="6" spans="1:20" x14ac:dyDescent="0.25">
      <c r="A6" s="14">
        <f t="shared" si="0"/>
        <v>5</v>
      </c>
      <c r="B6" s="14" t="s">
        <v>11</v>
      </c>
      <c r="C6" s="14" t="s">
        <v>6</v>
      </c>
      <c r="D6" s="14" t="s">
        <v>53</v>
      </c>
      <c r="E6" s="15">
        <v>44154</v>
      </c>
      <c r="F6" s="16">
        <v>44155</v>
      </c>
      <c r="G6" s="14" t="s">
        <v>132</v>
      </c>
      <c r="H6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6" s="14">
        <v>300</v>
      </c>
      <c r="J6" s="14" t="str">
        <f>IF(Таблица3[[#This Row],[Data livrare]]&gt;Таблица3[[#This Row],[Data de receptionate]],Ghid!$D$15,Ghid!$D$16)</f>
        <v xml:space="preserve">Livrat </v>
      </c>
      <c r="K6" s="14" t="s">
        <v>20</v>
      </c>
      <c r="L6" s="14">
        <v>78</v>
      </c>
      <c r="M6" s="14">
        <f>Таблица3[[#This Row],[Pret receptie unitar/RON]]*Таблица3[[#This Row],[Cantitate de produs]]</f>
        <v>23400</v>
      </c>
      <c r="N6" s="14" t="s">
        <v>13</v>
      </c>
      <c r="O6" s="14">
        <f>Таблица3[[#This Row],[Cantitate de produs]]+20</f>
        <v>320</v>
      </c>
      <c r="P6" s="14">
        <v>12</v>
      </c>
      <c r="Q6" s="14">
        <f>Таблица3[[#This Row],[Cantitate Total kg]]-Таблица3[[#This Row],[Vandute kg/luna]]</f>
        <v>308</v>
      </c>
      <c r="R6" s="14">
        <f>Таблица3[[#This Row],[Vandute kg/luna]]*(Таблица3[[#This Row],[Pret receptie unitar/RON]]+((Таблица3[[#This Row],[Pret receptie unitar/RON]]*25)/100))</f>
        <v>1170</v>
      </c>
      <c r="S6" s="20">
        <f>Таблица3[[#This Row],[Vandute/RON]]-Таблица3[[#This Row],[Cheltuieli]]</f>
        <v>-22230</v>
      </c>
    </row>
    <row r="7" spans="1:20" x14ac:dyDescent="0.25">
      <c r="A7" s="14">
        <f t="shared" si="0"/>
        <v>6</v>
      </c>
      <c r="B7" s="14" t="s">
        <v>46</v>
      </c>
      <c r="C7" s="14" t="s">
        <v>35</v>
      </c>
      <c r="D7" s="14" t="s">
        <v>54</v>
      </c>
      <c r="E7" s="15">
        <v>44428</v>
      </c>
      <c r="F7" s="16">
        <v>44429</v>
      </c>
      <c r="G7" s="14" t="s">
        <v>133</v>
      </c>
      <c r="H7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C1 - C20</v>
      </c>
      <c r="I7" s="14">
        <v>4562</v>
      </c>
      <c r="J7" s="14" t="str">
        <f>IF(Таблица3[[#This Row],[Data livrare]]&gt;Таблица3[[#This Row],[Data de receptionate]],Ghid!$D$15,Ghid!$D$16)</f>
        <v xml:space="preserve">Livrat </v>
      </c>
      <c r="K7" s="14" t="s">
        <v>21</v>
      </c>
      <c r="L7" s="14">
        <v>96</v>
      </c>
      <c r="M7" s="14">
        <f>Таблица3[[#This Row],[Pret receptie unitar/RON]]*Таблица3[[#This Row],[Cantitate de produs]]</f>
        <v>437952</v>
      </c>
      <c r="N7" s="14" t="s">
        <v>16</v>
      </c>
      <c r="O7" s="14">
        <f>Таблица3[[#This Row],[Cantitate de produs]]+20</f>
        <v>4582</v>
      </c>
      <c r="P7" s="14">
        <v>100</v>
      </c>
      <c r="Q7" s="14">
        <f>Таблица3[[#This Row],[Cantitate Total kg]]-Таблица3[[#This Row],[Vandute kg/luna]]</f>
        <v>4482</v>
      </c>
      <c r="R7" s="14">
        <f>Таблица3[[#This Row],[Vandute kg/luna]]*(Таблица3[[#This Row],[Pret receptie unitar/RON]]+((Таблица3[[#This Row],[Pret receptie unitar/RON]]*25)/100))</f>
        <v>12000</v>
      </c>
      <c r="S7" s="20">
        <f>Таблица3[[#This Row],[Vandute/RON]]-Таблица3[[#This Row],[Cheltuieli]]</f>
        <v>-425952</v>
      </c>
    </row>
    <row r="8" spans="1:20" x14ac:dyDescent="0.25">
      <c r="A8" s="14">
        <f t="shared" si="0"/>
        <v>7</v>
      </c>
      <c r="B8" s="14" t="s">
        <v>47</v>
      </c>
      <c r="C8" s="14" t="s">
        <v>27</v>
      </c>
      <c r="D8" s="14" t="s">
        <v>48</v>
      </c>
      <c r="E8" s="15">
        <v>44455</v>
      </c>
      <c r="F8" s="16"/>
      <c r="G8" s="14" t="s">
        <v>131</v>
      </c>
      <c r="H8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8" s="14">
        <v>5600</v>
      </c>
      <c r="J8" s="14" t="str">
        <f>IF(Таблица3[[#This Row],[Data livrare]]&gt;Таблица3[[#This Row],[Data de receptionate]],Ghid!$D$15,Ghid!$D$16)</f>
        <v>Nelivrat</v>
      </c>
      <c r="K8" s="14" t="s">
        <v>36</v>
      </c>
      <c r="L8" s="14">
        <v>45</v>
      </c>
      <c r="M8" s="14">
        <f>Таблица3[[#This Row],[Pret receptie unitar/RON]]*Таблица3[[#This Row],[Cantitate de produs]]</f>
        <v>252000</v>
      </c>
      <c r="N8" s="14" t="s">
        <v>14</v>
      </c>
      <c r="O8" s="14">
        <f>Таблица3[[#This Row],[Cantitate de produs]]+20</f>
        <v>5620</v>
      </c>
      <c r="P8" s="14">
        <v>656</v>
      </c>
      <c r="Q8" s="14">
        <f>Таблица3[[#This Row],[Cantitate Total kg]]-Таблица3[[#This Row],[Vandute kg/luna]]</f>
        <v>4964</v>
      </c>
      <c r="R8" s="14">
        <f>Таблица3[[#This Row],[Vandute kg/luna]]*(Таблица3[[#This Row],[Pret receptie unitar/RON]]+((Таблица3[[#This Row],[Pret receptie unitar/RON]]*25)/100))</f>
        <v>36900</v>
      </c>
      <c r="S8" s="20">
        <f>Таблица3[[#This Row],[Vandute/RON]]-Таблица3[[#This Row],[Cheltuieli]]</f>
        <v>-215100</v>
      </c>
    </row>
    <row r="9" spans="1:20" x14ac:dyDescent="0.25">
      <c r="A9" s="14">
        <f t="shared" si="0"/>
        <v>8</v>
      </c>
      <c r="B9" s="14" t="s">
        <v>49</v>
      </c>
      <c r="C9" s="14" t="s">
        <v>27</v>
      </c>
      <c r="D9" s="14" t="s">
        <v>50</v>
      </c>
      <c r="E9" s="15">
        <v>44150</v>
      </c>
      <c r="F9" s="16"/>
      <c r="G9" s="14" t="s">
        <v>131</v>
      </c>
      <c r="H9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9" s="14">
        <v>1235</v>
      </c>
      <c r="J9" s="14" t="str">
        <f>IF(Таблица3[[#This Row],[Data livrare]]&gt;Таблица3[[#This Row],[Data de receptionate]],Ghid!$D$15,Ghid!$D$16)</f>
        <v>Nelivrat</v>
      </c>
      <c r="K9" s="14" t="s">
        <v>37</v>
      </c>
      <c r="L9" s="14">
        <v>250</v>
      </c>
      <c r="M9" s="14">
        <f>Таблица3[[#This Row],[Pret receptie unitar/RON]]*Таблица3[[#This Row],[Cantitate de produs]]</f>
        <v>308750</v>
      </c>
      <c r="N9" s="14" t="s">
        <v>14</v>
      </c>
      <c r="O9" s="14">
        <f>Таблица3[[#This Row],[Cantitate de produs]]+20</f>
        <v>1255</v>
      </c>
      <c r="P9" s="14">
        <v>453</v>
      </c>
      <c r="Q9" s="14">
        <f>Таблица3[[#This Row],[Cantitate Total kg]]-Таблица3[[#This Row],[Vandute kg/luna]]</f>
        <v>802</v>
      </c>
      <c r="R9" s="14">
        <f>Таблица3[[#This Row],[Vandute kg/luna]]*(Таблица3[[#This Row],[Pret receptie unitar/RON]]+((Таблица3[[#This Row],[Pret receptie unitar/RON]]*25)/100))</f>
        <v>141562.5</v>
      </c>
      <c r="S9" s="20">
        <f>Таблица3[[#This Row],[Vandute/RON]]-Таблица3[[#This Row],[Cheltuieli]]</f>
        <v>-167187.5</v>
      </c>
    </row>
    <row r="10" spans="1:20" x14ac:dyDescent="0.25">
      <c r="A10" s="14">
        <f t="shared" si="0"/>
        <v>9</v>
      </c>
      <c r="B10" s="14" t="s">
        <v>51</v>
      </c>
      <c r="C10" s="14" t="s">
        <v>27</v>
      </c>
      <c r="D10" s="14" t="s">
        <v>52</v>
      </c>
      <c r="E10" s="15">
        <v>44344</v>
      </c>
      <c r="F10" s="16">
        <v>44376</v>
      </c>
      <c r="G10" s="14" t="s">
        <v>131</v>
      </c>
      <c r="H10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10" s="14">
        <v>4569</v>
      </c>
      <c r="J10" s="14" t="s">
        <v>33</v>
      </c>
      <c r="K10" s="14" t="s">
        <v>17</v>
      </c>
      <c r="L10" s="14">
        <v>300</v>
      </c>
      <c r="M10" s="14">
        <f>Таблица3[[#This Row],[Pret receptie unitar/RON]]*Таблица3[[#This Row],[Cantitate de produs]]</f>
        <v>1370700</v>
      </c>
      <c r="N10" s="14" t="s">
        <v>15</v>
      </c>
      <c r="O10" s="14">
        <f>Таблица3[[#This Row],[Cantitate de produs]]+20</f>
        <v>4589</v>
      </c>
      <c r="P10" s="14">
        <v>12</v>
      </c>
      <c r="Q10" s="14">
        <f>Таблица3[[#This Row],[Cantitate Total kg]]-Таблица3[[#This Row],[Vandute kg/luna]]</f>
        <v>4577</v>
      </c>
      <c r="R10" s="14">
        <f>Таблица3[[#This Row],[Vandute kg/luna]]*(Таблица3[[#This Row],[Pret receptie unitar/RON]]+((Таблица3[[#This Row],[Pret receptie unitar/RON]]*25)/100))</f>
        <v>4500</v>
      </c>
      <c r="S10" s="20">
        <f>Таблица3[[#This Row],[Vandute/RON]]-Таблица3[[#This Row],[Cheltuieli]]</f>
        <v>-1366200</v>
      </c>
    </row>
    <row r="11" spans="1:20" x14ac:dyDescent="0.25">
      <c r="A11" s="14">
        <f>A10+1</f>
        <v>10</v>
      </c>
      <c r="B11" s="14" t="s">
        <v>7</v>
      </c>
      <c r="C11" s="14" t="s">
        <v>5</v>
      </c>
      <c r="D11" s="14" t="s">
        <v>55</v>
      </c>
      <c r="E11" s="15">
        <v>44076</v>
      </c>
      <c r="F11" s="16">
        <v>44109</v>
      </c>
      <c r="G11" s="14" t="s">
        <v>131</v>
      </c>
      <c r="H11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11" s="14">
        <v>456</v>
      </c>
      <c r="J11" s="14" t="str">
        <f>IF(Таблица3[[#This Row],[Data livrare]]&gt;Таблица3[[#This Row],[Data de receptionate]],Ghid!$D$15,Ghid!$D$16)</f>
        <v xml:space="preserve">Livrat </v>
      </c>
      <c r="K11" s="14" t="s">
        <v>17</v>
      </c>
      <c r="L11" s="14">
        <v>456</v>
      </c>
      <c r="M11" s="14">
        <f>Таблица3[[#This Row],[Pret receptie unitar/RON]]*Таблица3[[#This Row],[Cantitate de produs]]</f>
        <v>207936</v>
      </c>
      <c r="N11" s="14" t="s">
        <v>13</v>
      </c>
      <c r="O11" s="14">
        <f>Таблица3[[#This Row],[Cantitate de produs]]+20</f>
        <v>476</v>
      </c>
      <c r="P11" s="14">
        <v>48</v>
      </c>
      <c r="Q11" s="14">
        <f>Таблица3[[#This Row],[Cantitate Total kg]]-Таблица3[[#This Row],[Vandute kg/luna]]</f>
        <v>428</v>
      </c>
      <c r="R11" s="14">
        <f>Таблица3[[#This Row],[Vandute kg/luna]]*(Таблица3[[#This Row],[Pret receptie unitar/RON]]+((Таблица3[[#This Row],[Pret receptie unitar/RON]]*25)/100))</f>
        <v>27360</v>
      </c>
      <c r="S11" s="20">
        <f>Таблица3[[#This Row],[Vandute/RON]]-Таблица3[[#This Row],[Cheltuieli]]</f>
        <v>-180576</v>
      </c>
    </row>
    <row r="12" spans="1:20" x14ac:dyDescent="0.25">
      <c r="A12" s="14">
        <f t="shared" si="0"/>
        <v>11</v>
      </c>
      <c r="B12" s="14" t="s">
        <v>8</v>
      </c>
      <c r="C12" s="14" t="s">
        <v>5</v>
      </c>
      <c r="D12" s="14" t="s">
        <v>55</v>
      </c>
      <c r="E12" s="15">
        <v>43906</v>
      </c>
      <c r="F12" s="16">
        <v>43908</v>
      </c>
      <c r="G12" s="14" t="s">
        <v>131</v>
      </c>
      <c r="H12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12" s="14">
        <v>1254</v>
      </c>
      <c r="J12" s="14" t="str">
        <f>IF(Таблица3[[#This Row],[Data livrare]]&gt;Таблица3[[#This Row],[Data de receptionate]],Ghid!$D$15,Ghid!$D$16)</f>
        <v xml:space="preserve">Livrat </v>
      </c>
      <c r="K12" s="14" t="s">
        <v>18</v>
      </c>
      <c r="L12" s="14">
        <v>125</v>
      </c>
      <c r="M12" s="14">
        <f>Таблица3[[#This Row],[Pret receptie unitar/RON]]*Таблица3[[#This Row],[Cantitate de produs]]</f>
        <v>156750</v>
      </c>
      <c r="N12" s="14" t="s">
        <v>14</v>
      </c>
      <c r="O12" s="14">
        <f>Таблица3[[#This Row],[Cantitate de produs]]+20</f>
        <v>1274</v>
      </c>
      <c r="P12" s="14">
        <v>99</v>
      </c>
      <c r="Q12" s="14">
        <f>Таблица3[[#This Row],[Cantitate Total kg]]-Таблица3[[#This Row],[Vandute kg/luna]]</f>
        <v>1175</v>
      </c>
      <c r="R12" s="14">
        <f>Таблица3[[#This Row],[Vandute kg/luna]]*(Таблица3[[#This Row],[Pret receptie unitar/RON]]+((Таблица3[[#This Row],[Pret receptie unitar/RON]]*25)/100))</f>
        <v>15468.75</v>
      </c>
      <c r="S12" s="20">
        <f>Таблица3[[#This Row],[Vandute/RON]]-Таблица3[[#This Row],[Cheltuieli]]</f>
        <v>-141281.25</v>
      </c>
    </row>
    <row r="13" spans="1:20" x14ac:dyDescent="0.25">
      <c r="A13" s="14">
        <f t="shared" si="0"/>
        <v>12</v>
      </c>
      <c r="B13" s="14" t="s">
        <v>9</v>
      </c>
      <c r="C13" s="14" t="s">
        <v>6</v>
      </c>
      <c r="D13" s="14" t="s">
        <v>53</v>
      </c>
      <c r="E13" s="15">
        <v>43907</v>
      </c>
      <c r="F13" s="16">
        <v>43909</v>
      </c>
      <c r="G13" s="14" t="s">
        <v>132</v>
      </c>
      <c r="H13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13" s="14">
        <v>6365</v>
      </c>
      <c r="J13" s="14" t="str">
        <f>IF(Таблица3[[#This Row],[Data livrare]]&gt;Таблица3[[#This Row],[Data de receptionate]],Ghid!$D$15,Ghid!$D$16)</f>
        <v xml:space="preserve">Livrat </v>
      </c>
      <c r="K13" s="14" t="s">
        <v>20</v>
      </c>
      <c r="L13" s="14">
        <v>46</v>
      </c>
      <c r="M13" s="14">
        <f>Таблица3[[#This Row],[Pret receptie unitar/RON]]*Таблица3[[#This Row],[Cantitate de produs]]</f>
        <v>292790</v>
      </c>
      <c r="N13" s="14" t="s">
        <v>15</v>
      </c>
      <c r="O13" s="14">
        <f>Таблица3[[#This Row],[Cantitate de produs]]+20</f>
        <v>6385</v>
      </c>
      <c r="P13" s="14">
        <v>50</v>
      </c>
      <c r="Q13" s="14">
        <f>Таблица3[[#This Row],[Cantitate Total kg]]-Таблица3[[#This Row],[Vandute kg/luna]]</f>
        <v>6335</v>
      </c>
      <c r="R13" s="14">
        <f>Таблица3[[#This Row],[Vandute kg/luna]]*(Таблица3[[#This Row],[Pret receptie unitar/RON]]+((Таблица3[[#This Row],[Pret receptie unitar/RON]]*25)/100))</f>
        <v>2875</v>
      </c>
      <c r="S13" s="20">
        <f>Таблица3[[#This Row],[Vandute/RON]]-Таблица3[[#This Row],[Cheltuieli]]</f>
        <v>-289915</v>
      </c>
    </row>
    <row r="14" spans="1:20" x14ac:dyDescent="0.25">
      <c r="A14" s="14">
        <f t="shared" si="0"/>
        <v>13</v>
      </c>
      <c r="B14" s="14" t="s">
        <v>10</v>
      </c>
      <c r="C14" s="14" t="s">
        <v>6</v>
      </c>
      <c r="D14" s="14" t="s">
        <v>53</v>
      </c>
      <c r="E14" s="15">
        <v>43907</v>
      </c>
      <c r="F14" s="16">
        <v>43939</v>
      </c>
      <c r="G14" s="14" t="s">
        <v>132</v>
      </c>
      <c r="H14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14" s="14">
        <v>4563</v>
      </c>
      <c r="J14" s="14" t="str">
        <f>IF(Таблица3[[#This Row],[Data livrare]]&gt;Таблица3[[#This Row],[Data de receptionate]],Ghid!$D$15,Ghid!$D$16)</f>
        <v xml:space="preserve">Livrat </v>
      </c>
      <c r="K14" s="14" t="s">
        <v>19</v>
      </c>
      <c r="L14" s="14">
        <v>80</v>
      </c>
      <c r="M14" s="14">
        <f>Таблица3[[#This Row],[Pret receptie unitar/RON]]*Таблица3[[#This Row],[Cantitate de produs]]</f>
        <v>365040</v>
      </c>
      <c r="N14" s="14" t="s">
        <v>16</v>
      </c>
      <c r="O14" s="14">
        <f>Таблица3[[#This Row],[Cantitate de produs]]+20</f>
        <v>4583</v>
      </c>
      <c r="P14" s="14">
        <v>12</v>
      </c>
      <c r="Q14" s="14">
        <f>Таблица3[[#This Row],[Cantitate Total kg]]-Таблица3[[#This Row],[Vandute kg/luna]]</f>
        <v>4571</v>
      </c>
      <c r="R14" s="14">
        <f>Таблица3[[#This Row],[Vandute kg/luna]]*(Таблица3[[#This Row],[Pret receptie unitar/RON]]+((Таблица3[[#This Row],[Pret receptie unitar/RON]]*25)/100))</f>
        <v>1200</v>
      </c>
      <c r="S14" s="20">
        <f>Таблица3[[#This Row],[Vandute/RON]]-Таблица3[[#This Row],[Cheltuieli]]</f>
        <v>-363840</v>
      </c>
    </row>
    <row r="15" spans="1:20" x14ac:dyDescent="0.25">
      <c r="A15" s="14">
        <f t="shared" si="0"/>
        <v>14</v>
      </c>
      <c r="B15" s="14" t="s">
        <v>11</v>
      </c>
      <c r="C15" s="14" t="s">
        <v>6</v>
      </c>
      <c r="D15" s="14" t="s">
        <v>53</v>
      </c>
      <c r="E15" s="15">
        <v>43969</v>
      </c>
      <c r="F15" s="16"/>
      <c r="G15" s="14" t="s">
        <v>132</v>
      </c>
      <c r="H15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B1 - B5</v>
      </c>
      <c r="I15" s="14">
        <v>1235</v>
      </c>
      <c r="J15" s="14" t="str">
        <f>IF(Таблица3[[#This Row],[Data livrare]]&gt;Таблица3[[#This Row],[Data de receptionate]],Ghid!$D$15,Ghid!$D$16)</f>
        <v>Nelivrat</v>
      </c>
      <c r="K15" s="14" t="s">
        <v>20</v>
      </c>
      <c r="L15" s="14">
        <v>90</v>
      </c>
      <c r="M15" s="14">
        <f>Таблица3[[#This Row],[Pret receptie unitar/RON]]*Таблица3[[#This Row],[Cantitate de produs]]</f>
        <v>111150</v>
      </c>
      <c r="N15" s="14" t="s">
        <v>13</v>
      </c>
      <c r="O15" s="14">
        <f>Таблица3[[#This Row],[Cantitate de produs]]+20</f>
        <v>1255</v>
      </c>
      <c r="P15" s="14">
        <v>1250</v>
      </c>
      <c r="Q15" s="14">
        <f>Таблица3[[#This Row],[Cantitate Total kg]]-Таблица3[[#This Row],[Vandute kg/luna]]</f>
        <v>5</v>
      </c>
      <c r="R15" s="14">
        <f>Таблица3[[#This Row],[Vandute kg/luna]]*(Таблица3[[#This Row],[Pret receptie unitar/RON]]+((Таблица3[[#This Row],[Pret receptie unitar/RON]]*25)/100))</f>
        <v>140625</v>
      </c>
      <c r="S15" s="20">
        <f>Таблица3[[#This Row],[Vandute/RON]]-Таблица3[[#This Row],[Cheltuieli]]</f>
        <v>29475</v>
      </c>
    </row>
    <row r="16" spans="1:20" x14ac:dyDescent="0.25">
      <c r="A16" s="14">
        <f t="shared" si="0"/>
        <v>15</v>
      </c>
      <c r="B16" s="14" t="s">
        <v>46</v>
      </c>
      <c r="C16" s="14" t="s">
        <v>26</v>
      </c>
      <c r="D16" s="14" t="s">
        <v>54</v>
      </c>
      <c r="E16" s="15">
        <v>44103</v>
      </c>
      <c r="F16" s="16"/>
      <c r="G16" s="14" t="s">
        <v>132</v>
      </c>
      <c r="H16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B6 - B15</v>
      </c>
      <c r="I16" s="14">
        <v>7896</v>
      </c>
      <c r="J16" s="14" t="s">
        <v>34</v>
      </c>
      <c r="K16" s="14" t="s">
        <v>21</v>
      </c>
      <c r="L16" s="14">
        <v>55</v>
      </c>
      <c r="M16" s="14">
        <f>Таблица3[[#This Row],[Pret receptie unitar/RON]]*Таблица3[[#This Row],[Cantitate de produs]]</f>
        <v>434280</v>
      </c>
      <c r="N16" s="14" t="s">
        <v>16</v>
      </c>
      <c r="O16" s="14">
        <f>Таблица3[[#This Row],[Cantitate de produs]]+20</f>
        <v>7916</v>
      </c>
      <c r="P16" s="14">
        <v>400</v>
      </c>
      <c r="Q16" s="14">
        <f>Таблица3[[#This Row],[Cantitate Total kg]]-Таблица3[[#This Row],[Vandute kg/luna]]</f>
        <v>7516</v>
      </c>
      <c r="R16" s="14">
        <f>Таблица3[[#This Row],[Vandute kg/luna]]*(Таблица3[[#This Row],[Pret receptie unitar/RON]]+((Таблица3[[#This Row],[Pret receptie unitar/RON]]*25)/100))</f>
        <v>27500</v>
      </c>
      <c r="S16" s="20">
        <f>Таблица3[[#This Row],[Vandute/RON]]-Таблица3[[#This Row],[Cheltuieli]]</f>
        <v>-406780</v>
      </c>
    </row>
    <row r="17" spans="1:19" x14ac:dyDescent="0.25">
      <c r="A17" s="14">
        <f t="shared" si="0"/>
        <v>16</v>
      </c>
      <c r="B17" s="14" t="s">
        <v>56</v>
      </c>
      <c r="C17" s="14" t="s">
        <v>27</v>
      </c>
      <c r="D17" s="14" t="s">
        <v>48</v>
      </c>
      <c r="E17" s="15">
        <v>43969</v>
      </c>
      <c r="F17" s="16">
        <v>43976</v>
      </c>
      <c r="G17" s="14" t="s">
        <v>131</v>
      </c>
      <c r="H17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17" s="14">
        <v>5645</v>
      </c>
      <c r="J17" s="14" t="str">
        <f>IF(Таблица3[[#This Row],[Data livrare]]&gt;Таблица3[[#This Row],[Data de receptionate]],Ghid!$D$15,Ghid!$D$16)</f>
        <v xml:space="preserve">Livrat </v>
      </c>
      <c r="K17" s="14" t="s">
        <v>36</v>
      </c>
      <c r="L17" s="14">
        <v>63</v>
      </c>
      <c r="M17" s="14">
        <f>Таблица3[[#This Row],[Pret receptie unitar/RON]]*Таблица3[[#This Row],[Cantitate de produs]]</f>
        <v>355635</v>
      </c>
      <c r="N17" s="14" t="s">
        <v>14</v>
      </c>
      <c r="O17" s="14">
        <f>Таблица3[[#This Row],[Cantitate de produs]]+20</f>
        <v>5665</v>
      </c>
      <c r="P17" s="14">
        <v>152</v>
      </c>
      <c r="Q17" s="14">
        <f>Таблица3[[#This Row],[Cantitate Total kg]]-Таблица3[[#This Row],[Vandute kg/luna]]</f>
        <v>5513</v>
      </c>
      <c r="R17" s="14">
        <f>Таблица3[[#This Row],[Vandute kg/luna]]*(Таблица3[[#This Row],[Pret receptie unitar/RON]]+((Таблица3[[#This Row],[Pret receptie unitar/RON]]*25)/100))</f>
        <v>11970</v>
      </c>
      <c r="S17" s="20">
        <f>Таблица3[[#This Row],[Vandute/RON]]-Таблица3[[#This Row],[Cheltuieli]]</f>
        <v>-343665</v>
      </c>
    </row>
    <row r="18" spans="1:19" x14ac:dyDescent="0.25">
      <c r="A18" s="14">
        <f t="shared" si="0"/>
        <v>17</v>
      </c>
      <c r="B18" s="14" t="s">
        <v>100</v>
      </c>
      <c r="C18" s="14" t="s">
        <v>28</v>
      </c>
      <c r="D18" s="14" t="s">
        <v>52</v>
      </c>
      <c r="E18" s="15">
        <v>43969</v>
      </c>
      <c r="F18" s="16">
        <v>44001</v>
      </c>
      <c r="G18" s="14" t="s">
        <v>132</v>
      </c>
      <c r="H18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B16 - B30</v>
      </c>
      <c r="I18" s="14">
        <v>4563</v>
      </c>
      <c r="J18" s="14" t="str">
        <f>IF(Таблица3[[#This Row],[Data livrare]]&gt;Таблица3[[#This Row],[Data de receptionate]],Ghid!$D$15,Ghid!$D$16)</f>
        <v xml:space="preserve">Livrat </v>
      </c>
      <c r="K18" s="14" t="s">
        <v>20</v>
      </c>
      <c r="L18" s="14">
        <v>125</v>
      </c>
      <c r="M18" s="14">
        <f>Таблица3[[#This Row],[Pret receptie unitar/RON]]*Таблица3[[#This Row],[Cantitate de produs]]</f>
        <v>570375</v>
      </c>
      <c r="N18" s="14" t="s">
        <v>15</v>
      </c>
      <c r="O18" s="20">
        <f>Таблица3[[#This Row],[Cantitate de produs]]+20</f>
        <v>4583</v>
      </c>
      <c r="P18" s="14">
        <v>656</v>
      </c>
      <c r="Q18" s="20">
        <f>Таблица3[[#This Row],[Cantitate Total kg]]-Таблица3[[#This Row],[Vandute kg/luna]]</f>
        <v>3927</v>
      </c>
      <c r="R18" s="14">
        <f>Таблица3[[#This Row],[Vandute kg/luna]]*(Таблица3[[#This Row],[Pret receptie unitar/RON]]+((Таблица3[[#This Row],[Pret receptie unitar/RON]]*25)/100))</f>
        <v>102500</v>
      </c>
      <c r="S18" s="20">
        <f>Таблица3[[#This Row],[Vandute/RON]]-Таблица3[[#This Row],[Cheltuieli]]</f>
        <v>-467875</v>
      </c>
    </row>
    <row r="19" spans="1:19" x14ac:dyDescent="0.25">
      <c r="A19" s="14">
        <f t="shared" si="0"/>
        <v>18</v>
      </c>
      <c r="B19" s="14" t="s">
        <v>101</v>
      </c>
      <c r="C19" s="14" t="s">
        <v>28</v>
      </c>
      <c r="D19" s="14" t="s">
        <v>52</v>
      </c>
      <c r="E19" s="15">
        <v>44103</v>
      </c>
      <c r="F19" s="16">
        <v>44134</v>
      </c>
      <c r="G19" s="14" t="s">
        <v>132</v>
      </c>
      <c r="H19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B16 - B30</v>
      </c>
      <c r="I19" s="14">
        <v>1235</v>
      </c>
      <c r="J19" s="14" t="str">
        <f>IF(Таблица3[[#This Row],[Data livrare]]&gt;Таблица3[[#This Row],[Data de receptionate]],Ghid!$D$15,Ghid!$D$16)</f>
        <v xml:space="preserve">Livrat </v>
      </c>
      <c r="K19" s="14" t="s">
        <v>21</v>
      </c>
      <c r="L19" s="14">
        <v>46</v>
      </c>
      <c r="M19" s="14">
        <f>Таблица3[[#This Row],[Pret receptie unitar/RON]]*Таблица3[[#This Row],[Cantitate de produs]]</f>
        <v>56810</v>
      </c>
      <c r="N19" s="14" t="s">
        <v>13</v>
      </c>
      <c r="O19" s="20">
        <f>Таблица3[[#This Row],[Cantitate de produs]]+20</f>
        <v>1255</v>
      </c>
      <c r="P19" s="14">
        <v>453</v>
      </c>
      <c r="Q19" s="20">
        <f>Таблица3[[#This Row],[Cantitate Total kg]]-Таблица3[[#This Row],[Vandute kg/luna]]</f>
        <v>802</v>
      </c>
      <c r="R19" s="14">
        <f>Таблица3[[#This Row],[Vandute kg/luna]]*(Таблица3[[#This Row],[Pret receptie unitar/RON]]+((Таблица3[[#This Row],[Pret receptie unitar/RON]]*25)/100))</f>
        <v>26047.5</v>
      </c>
      <c r="S19" s="20">
        <f>Таблица3[[#This Row],[Vandute/RON]]-Таблица3[[#This Row],[Cheltuieli]]</f>
        <v>-30762.5</v>
      </c>
    </row>
    <row r="20" spans="1:19" x14ac:dyDescent="0.25">
      <c r="A20" s="14">
        <f t="shared" si="0"/>
        <v>19</v>
      </c>
      <c r="B20" s="14" t="s">
        <v>102</v>
      </c>
      <c r="C20" s="14" t="s">
        <v>28</v>
      </c>
      <c r="D20" s="14" t="s">
        <v>52</v>
      </c>
      <c r="E20" s="15">
        <v>44344</v>
      </c>
      <c r="F20" s="16">
        <v>44345</v>
      </c>
      <c r="G20" s="14" t="s">
        <v>132</v>
      </c>
      <c r="H20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B16 - B30</v>
      </c>
      <c r="I20" s="14">
        <v>7896</v>
      </c>
      <c r="J20" s="14" t="str">
        <f>IF(Таблица3[[#This Row],[Data livrare]]&gt;Таблица3[[#This Row],[Data de receptionate]],Ghid!$D$15,Ghid!$D$16)</f>
        <v xml:space="preserve">Livrat </v>
      </c>
      <c r="K20" s="14" t="s">
        <v>36</v>
      </c>
      <c r="L20" s="14">
        <v>80</v>
      </c>
      <c r="M20" s="14">
        <f>Таблица3[[#This Row],[Pret receptie unitar/RON]]*Таблица3[[#This Row],[Cantitate de produs]]</f>
        <v>631680</v>
      </c>
      <c r="N20" s="14" t="s">
        <v>14</v>
      </c>
      <c r="O20" s="20">
        <f>Таблица3[[#This Row],[Cantitate de produs]]+20</f>
        <v>7916</v>
      </c>
      <c r="P20" s="14">
        <v>12</v>
      </c>
      <c r="Q20" s="20">
        <f>Таблица3[[#This Row],[Cantitate Total kg]]-Таблица3[[#This Row],[Vandute kg/luna]]</f>
        <v>7904</v>
      </c>
      <c r="R20" s="14">
        <f>Таблица3[[#This Row],[Vandute kg/luna]]*(Таблица3[[#This Row],[Pret receptie unitar/RON]]+((Таблица3[[#This Row],[Pret receptie unitar/RON]]*25)/100))</f>
        <v>1200</v>
      </c>
      <c r="S20" s="20">
        <f>Таблица3[[#This Row],[Vandute/RON]]-Таблица3[[#This Row],[Cheltuieli]]</f>
        <v>-630480</v>
      </c>
    </row>
    <row r="21" spans="1:19" x14ac:dyDescent="0.25">
      <c r="A21" s="14">
        <f t="shared" si="0"/>
        <v>20</v>
      </c>
      <c r="B21" s="14" t="s">
        <v>103</v>
      </c>
      <c r="C21" s="14" t="s">
        <v>35</v>
      </c>
      <c r="D21" s="14" t="s">
        <v>52</v>
      </c>
      <c r="E21" s="15">
        <v>44076</v>
      </c>
      <c r="F21" s="16">
        <v>44089</v>
      </c>
      <c r="G21" s="14" t="s">
        <v>133</v>
      </c>
      <c r="H21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C1 - C20</v>
      </c>
      <c r="I21" s="14">
        <v>5645</v>
      </c>
      <c r="J21" s="14" t="str">
        <f>IF(Таблица3[[#This Row],[Data livrare]]&gt;Таблица3[[#This Row],[Data de receptionate]],Ghid!$D$15,Ghid!$D$16)</f>
        <v xml:space="preserve">Livrat </v>
      </c>
      <c r="K21" s="14" t="s">
        <v>37</v>
      </c>
      <c r="L21" s="14">
        <v>90</v>
      </c>
      <c r="M21" s="14">
        <f>Таблица3[[#This Row],[Pret receptie unitar/RON]]*Таблица3[[#This Row],[Cantitate de produs]]</f>
        <v>508050</v>
      </c>
      <c r="N21" s="14" t="s">
        <v>15</v>
      </c>
      <c r="O21" s="20">
        <f>Таблица3[[#This Row],[Cantitate de produs]]+20</f>
        <v>5665</v>
      </c>
      <c r="P21" s="14">
        <v>48</v>
      </c>
      <c r="Q21" s="20">
        <f>Таблица3[[#This Row],[Cantitate Total kg]]-Таблица3[[#This Row],[Vandute kg/luna]]</f>
        <v>5617</v>
      </c>
      <c r="R21" s="14">
        <f>Таблица3[[#This Row],[Vandute kg/luna]]*(Таблица3[[#This Row],[Pret receptie unitar/RON]]+((Таблица3[[#This Row],[Pret receptie unitar/RON]]*25)/100))</f>
        <v>5400</v>
      </c>
      <c r="S21" s="20">
        <f>Таблица3[[#This Row],[Vandute/RON]]-Таблица3[[#This Row],[Cheltuieli]]</f>
        <v>-502650</v>
      </c>
    </row>
    <row r="22" spans="1:19" x14ac:dyDescent="0.25">
      <c r="A22" s="14">
        <f t="shared" si="0"/>
        <v>21</v>
      </c>
      <c r="B22" s="14" t="s">
        <v>117</v>
      </c>
      <c r="C22" s="14" t="s">
        <v>35</v>
      </c>
      <c r="D22" s="14" t="s">
        <v>52</v>
      </c>
      <c r="E22" s="15">
        <v>43906</v>
      </c>
      <c r="F22" s="16">
        <v>43939</v>
      </c>
      <c r="G22" s="14" t="s">
        <v>133</v>
      </c>
      <c r="H22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C1 - C20</v>
      </c>
      <c r="I22" s="14">
        <v>5600</v>
      </c>
      <c r="J22" s="14" t="str">
        <f>IF(Таблица3[[#This Row],[Data livrare]]&gt;Таблица3[[#This Row],[Data de receptionate]],Ghid!$D$15,Ghid!$D$16)</f>
        <v xml:space="preserve">Livrat </v>
      </c>
      <c r="K22" s="14" t="s">
        <v>17</v>
      </c>
      <c r="L22" s="14">
        <v>55</v>
      </c>
      <c r="M22" s="14">
        <f>Таблица3[[#This Row],[Pret receptie unitar/RON]]*Таблица3[[#This Row],[Cantitate de produs]]</f>
        <v>308000</v>
      </c>
      <c r="N22" s="14" t="s">
        <v>16</v>
      </c>
      <c r="O22" s="20">
        <f>Таблица3[[#This Row],[Cantitate de produs]]+20</f>
        <v>5620</v>
      </c>
      <c r="P22" s="14">
        <v>99</v>
      </c>
      <c r="Q22" s="20">
        <f>Таблица3[[#This Row],[Cantitate Total kg]]-Таблица3[[#This Row],[Vandute kg/luna]]</f>
        <v>5521</v>
      </c>
      <c r="R22" s="14">
        <f>Таблица3[[#This Row],[Vandute kg/luna]]*(Таблица3[[#This Row],[Pret receptie unitar/RON]]+((Таблица3[[#This Row],[Pret receptie unitar/RON]]*25)/100))</f>
        <v>6806.25</v>
      </c>
      <c r="S22" s="20">
        <f>Таблица3[[#This Row],[Vandute/RON]]-Таблица3[[#This Row],[Cheltuieli]]</f>
        <v>-301193.75</v>
      </c>
    </row>
    <row r="23" spans="1:19" x14ac:dyDescent="0.25">
      <c r="A23" s="14">
        <f t="shared" si="0"/>
        <v>22</v>
      </c>
      <c r="B23" s="14" t="s">
        <v>118</v>
      </c>
      <c r="C23" s="14" t="s">
        <v>27</v>
      </c>
      <c r="D23" s="14" t="s">
        <v>52</v>
      </c>
      <c r="E23" s="15">
        <v>43907</v>
      </c>
      <c r="F23" s="16">
        <v>43941</v>
      </c>
      <c r="G23" s="14" t="s">
        <v>131</v>
      </c>
      <c r="H23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23" s="14">
        <v>1235</v>
      </c>
      <c r="J23" s="14" t="s">
        <v>33</v>
      </c>
      <c r="K23" s="14" t="s">
        <v>18</v>
      </c>
      <c r="L23" s="14">
        <v>200</v>
      </c>
      <c r="M23" s="14">
        <f>Таблица3[[#This Row],[Pret receptie unitar/RON]]*Таблица3[[#This Row],[Cantitate de produs]]</f>
        <v>247000</v>
      </c>
      <c r="N23" s="14" t="s">
        <v>13</v>
      </c>
      <c r="O23" s="20">
        <f>Таблица3[[#This Row],[Cantitate de produs]]+20</f>
        <v>1255</v>
      </c>
      <c r="P23" s="14">
        <v>50</v>
      </c>
      <c r="Q23" s="20">
        <f>Таблица3[[#This Row],[Cantitate Total kg]]-Таблица3[[#This Row],[Vandute kg/luna]]</f>
        <v>1205</v>
      </c>
      <c r="R23" s="14">
        <f>Таблица3[[#This Row],[Vandute kg/luna]]*(Таблица3[[#This Row],[Pret receptie unitar/RON]]+((Таблица3[[#This Row],[Pret receptie unitar/RON]]*25)/100))</f>
        <v>12500</v>
      </c>
      <c r="S23" s="20">
        <f>Таблица3[[#This Row],[Vandute/RON]]-Таблица3[[#This Row],[Cheltuieli]]</f>
        <v>-234500</v>
      </c>
    </row>
    <row r="24" spans="1:19" x14ac:dyDescent="0.25">
      <c r="A24" s="14">
        <f t="shared" si="0"/>
        <v>23</v>
      </c>
      <c r="B24" s="14" t="s">
        <v>119</v>
      </c>
      <c r="C24" s="14" t="s">
        <v>27</v>
      </c>
      <c r="D24" s="14" t="s">
        <v>52</v>
      </c>
      <c r="E24" s="15">
        <v>43907</v>
      </c>
      <c r="F24" s="16">
        <v>43939</v>
      </c>
      <c r="G24" s="14" t="s">
        <v>131</v>
      </c>
      <c r="H24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24" s="14">
        <v>4569</v>
      </c>
      <c r="J24" s="14" t="str">
        <f>IF(Таблица3[[#This Row],[Data livrare]]&gt;Таблица3[[#This Row],[Data de receptionate]],Ghid!$D$15,Ghid!$D$16)</f>
        <v xml:space="preserve">Livrat </v>
      </c>
      <c r="K24" s="14" t="s">
        <v>20</v>
      </c>
      <c r="L24" s="14">
        <v>300</v>
      </c>
      <c r="M24" s="14">
        <f>Таблица3[[#This Row],[Pret receptie unitar/RON]]*Таблица3[[#This Row],[Cantitate de produs]]</f>
        <v>1370700</v>
      </c>
      <c r="N24" s="14" t="s">
        <v>16</v>
      </c>
      <c r="O24" s="20">
        <f>Таблица3[[#This Row],[Cantitate de produs]]+20</f>
        <v>4589</v>
      </c>
      <c r="P24" s="14">
        <v>56</v>
      </c>
      <c r="Q24" s="20">
        <f>Таблица3[[#This Row],[Cantitate Total kg]]-Таблица3[[#This Row],[Vandute kg/luna]]</f>
        <v>4533</v>
      </c>
      <c r="R24" s="14">
        <f>Таблица3[[#This Row],[Vandute kg/luna]]*(Таблица3[[#This Row],[Pret receptie unitar/RON]]+((Таблица3[[#This Row],[Pret receptie unitar/RON]]*25)/100))</f>
        <v>21000</v>
      </c>
      <c r="S24" s="20">
        <f>Таблица3[[#This Row],[Vandute/RON]]-Таблица3[[#This Row],[Cheltuieli]]</f>
        <v>-1349700</v>
      </c>
    </row>
    <row r="25" spans="1:19" x14ac:dyDescent="0.25">
      <c r="A25" s="14">
        <f t="shared" si="0"/>
        <v>24</v>
      </c>
      <c r="B25" s="14" t="s">
        <v>120</v>
      </c>
      <c r="C25" s="14" t="s">
        <v>27</v>
      </c>
      <c r="D25" s="14" t="s">
        <v>52</v>
      </c>
      <c r="E25" s="15">
        <v>43907</v>
      </c>
      <c r="F25" s="16">
        <v>43941</v>
      </c>
      <c r="G25" s="14" t="s">
        <v>131</v>
      </c>
      <c r="H25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25" s="14">
        <v>456</v>
      </c>
      <c r="J25" s="14" t="str">
        <f>IF(Таблица3[[#This Row],[Data livrare]]&gt;Таблица3[[#This Row],[Data de receptionate]],Ghid!$D$15,Ghid!$D$16)</f>
        <v xml:space="preserve">Livrat </v>
      </c>
      <c r="K25" s="14" t="s">
        <v>19</v>
      </c>
      <c r="L25" s="14">
        <v>45</v>
      </c>
      <c r="M25" s="14">
        <f>Таблица3[[#This Row],[Pret receptie unitar/RON]]*Таблица3[[#This Row],[Cantitate de produs]]</f>
        <v>20520</v>
      </c>
      <c r="N25" s="14" t="s">
        <v>16</v>
      </c>
      <c r="O25" s="20">
        <f>Таблица3[[#This Row],[Cantitate de produs]]+20</f>
        <v>476</v>
      </c>
      <c r="P25" s="14">
        <v>10</v>
      </c>
      <c r="Q25" s="20">
        <f>Таблица3[[#This Row],[Cantitate Total kg]]-Таблица3[[#This Row],[Vandute kg/luna]]</f>
        <v>466</v>
      </c>
      <c r="R25" s="14">
        <f>Таблица3[[#This Row],[Vandute kg/luna]]*(Таблица3[[#This Row],[Pret receptie unitar/RON]]+((Таблица3[[#This Row],[Pret receptie unitar/RON]]*25)/100))</f>
        <v>562.5</v>
      </c>
      <c r="S25" s="20">
        <f>Таблица3[[#This Row],[Vandute/RON]]-Таблица3[[#This Row],[Cheltuieli]]</f>
        <v>-19957.5</v>
      </c>
    </row>
    <row r="26" spans="1:19" x14ac:dyDescent="0.25">
      <c r="A26" s="14">
        <f t="shared" si="0"/>
        <v>25</v>
      </c>
      <c r="B26" s="14" t="s">
        <v>121</v>
      </c>
      <c r="C26" s="14" t="s">
        <v>27</v>
      </c>
      <c r="D26" s="14" t="s">
        <v>52</v>
      </c>
      <c r="E26" s="15">
        <v>43969</v>
      </c>
      <c r="F26" s="16">
        <v>43981</v>
      </c>
      <c r="G26" s="14" t="s">
        <v>131</v>
      </c>
      <c r="H26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26" s="14">
        <v>1254</v>
      </c>
      <c r="J26" s="14" t="str">
        <f>IF(Таблица3[[#This Row],[Data livrare]]&gt;Таблица3[[#This Row],[Data de receptionate]],Ghid!$D$15,Ghid!$D$16)</f>
        <v xml:space="preserve">Livrat </v>
      </c>
      <c r="K26" s="14" t="s">
        <v>20</v>
      </c>
      <c r="L26" s="14">
        <v>78</v>
      </c>
      <c r="M26" s="14">
        <f>Таблица3[[#This Row],[Pret receptie unitar/RON]]*Таблица3[[#This Row],[Cantitate de produs]]</f>
        <v>97812</v>
      </c>
      <c r="N26" s="14" t="s">
        <v>13</v>
      </c>
      <c r="O26" s="20">
        <f>Таблица3[[#This Row],[Cantitate de produs]]+20</f>
        <v>1274</v>
      </c>
      <c r="P26" s="14">
        <v>45</v>
      </c>
      <c r="Q26" s="20">
        <f>Таблица3[[#This Row],[Cantitate Total kg]]-Таблица3[[#This Row],[Vandute kg/luna]]</f>
        <v>1229</v>
      </c>
      <c r="R26" s="14">
        <f>Таблица3[[#This Row],[Vandute kg/luna]]*(Таблица3[[#This Row],[Pret receptie unitar/RON]]+((Таблица3[[#This Row],[Pret receptie unitar/RON]]*25)/100))</f>
        <v>4387.5</v>
      </c>
      <c r="S26" s="20">
        <f>Таблица3[[#This Row],[Vandute/RON]]-Таблица3[[#This Row],[Cheltuieli]]</f>
        <v>-93424.5</v>
      </c>
    </row>
    <row r="27" spans="1:19" x14ac:dyDescent="0.25">
      <c r="A27" s="14">
        <f t="shared" si="0"/>
        <v>26</v>
      </c>
      <c r="B27" s="14" t="s">
        <v>122</v>
      </c>
      <c r="C27" s="14" t="s">
        <v>5</v>
      </c>
      <c r="D27" s="14" t="s">
        <v>127</v>
      </c>
      <c r="E27" s="15">
        <v>44103</v>
      </c>
      <c r="F27" s="16">
        <v>44134</v>
      </c>
      <c r="G27" s="14" t="s">
        <v>131</v>
      </c>
      <c r="H27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27" s="14">
        <v>6365</v>
      </c>
      <c r="J27" s="14" t="str">
        <f>IF(Таблица3[[#This Row],[Data livrare]]&gt;Таблица3[[#This Row],[Data de receptionate]],Ghid!$D$15,Ghid!$D$16)</f>
        <v xml:space="preserve">Livrat </v>
      </c>
      <c r="K27" s="14" t="s">
        <v>21</v>
      </c>
      <c r="L27" s="14">
        <v>96</v>
      </c>
      <c r="M27" s="14">
        <f>Таблица3[[#This Row],[Pret receptie unitar/RON]]*Таблица3[[#This Row],[Cantitate de produs]]</f>
        <v>611040</v>
      </c>
      <c r="N27" s="14" t="s">
        <v>16</v>
      </c>
      <c r="O27" s="20">
        <f>Таблица3[[#This Row],[Cantitate de produs]]+20</f>
        <v>6385</v>
      </c>
      <c r="P27" s="14">
        <v>12</v>
      </c>
      <c r="Q27" s="20">
        <f>Таблица3[[#This Row],[Cantitate Total kg]]-Таблица3[[#This Row],[Vandute kg/luna]]</f>
        <v>6373</v>
      </c>
      <c r="R27" s="14">
        <f>Таблица3[[#This Row],[Vandute kg/luna]]*(Таблица3[[#This Row],[Pret receptie unitar/RON]]+((Таблица3[[#This Row],[Pret receptie unitar/RON]]*25)/100))</f>
        <v>1440</v>
      </c>
      <c r="S27" s="20">
        <f>Таблица3[[#This Row],[Vandute/RON]]-Таблица3[[#This Row],[Cheltuieli]]</f>
        <v>-609600</v>
      </c>
    </row>
    <row r="28" spans="1:19" x14ac:dyDescent="0.25">
      <c r="A28" s="14">
        <f t="shared" si="0"/>
        <v>27</v>
      </c>
      <c r="B28" s="14" t="s">
        <v>94</v>
      </c>
      <c r="C28" s="14" t="s">
        <v>27</v>
      </c>
      <c r="D28" s="14" t="s">
        <v>50</v>
      </c>
      <c r="E28" s="15">
        <v>43969</v>
      </c>
      <c r="F28" s="16">
        <v>44002</v>
      </c>
      <c r="G28" s="14" t="s">
        <v>131</v>
      </c>
      <c r="H28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A11 - A20</v>
      </c>
      <c r="I28" s="14">
        <v>5600</v>
      </c>
      <c r="J28" s="14" t="str">
        <f>IF(Таблица3[[#This Row],[Data livrare]]&gt;Таблица3[[#This Row],[Data de receptionate]],Ghid!$D$15,Ghid!$D$16)</f>
        <v xml:space="preserve">Livrat </v>
      </c>
      <c r="K28" s="14" t="s">
        <v>20</v>
      </c>
      <c r="L28" s="14">
        <v>45</v>
      </c>
      <c r="M28" s="14">
        <f>Таблица3[[#This Row],[Pret receptie unitar/RON]]*Таблица3[[#This Row],[Cantitate de produs]]</f>
        <v>252000</v>
      </c>
      <c r="N28" s="14" t="s">
        <v>14</v>
      </c>
      <c r="O28" s="20">
        <f>Таблица3[[#This Row],[Cantitate de produs]]+20</f>
        <v>5620</v>
      </c>
      <c r="P28" s="14">
        <v>12</v>
      </c>
      <c r="Q28" s="20">
        <f>Таблица3[[#This Row],[Cantitate Total kg]]-Таблица3[[#This Row],[Vandute kg/luna]]</f>
        <v>5608</v>
      </c>
      <c r="R28" s="14">
        <f>Таблица3[[#This Row],[Vandute kg/luna]]*(Таблица3[[#This Row],[Pret receptie unitar/RON]]+((Таблица3[[#This Row],[Pret receptie unitar/RON]]*25)/100))</f>
        <v>675</v>
      </c>
      <c r="S28" s="20">
        <f>Таблица3[[#This Row],[Vandute/RON]]-Таблица3[[#This Row],[Cheltuieli]]</f>
        <v>-251325</v>
      </c>
    </row>
    <row r="29" spans="1:19" x14ac:dyDescent="0.25">
      <c r="A29" s="14">
        <f t="shared" si="0"/>
        <v>28</v>
      </c>
      <c r="B29" s="14" t="s">
        <v>95</v>
      </c>
      <c r="C29" s="14" t="s">
        <v>35</v>
      </c>
      <c r="D29" s="14" t="s">
        <v>52</v>
      </c>
      <c r="E29" s="15">
        <v>43969</v>
      </c>
      <c r="F29" s="16">
        <v>44073</v>
      </c>
      <c r="G29" s="14" t="s">
        <v>133</v>
      </c>
      <c r="H29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C1 - C20</v>
      </c>
      <c r="I29" s="14">
        <v>1235</v>
      </c>
      <c r="J29" s="14" t="str">
        <f>IF(Таблица3[[#This Row],[Data livrare]]&gt;Таблица3[[#This Row],[Data de receptionate]],Ghid!$D$15,Ghid!$D$16)</f>
        <v xml:space="preserve">Livrat </v>
      </c>
      <c r="K29" s="14" t="s">
        <v>19</v>
      </c>
      <c r="L29" s="14">
        <v>50</v>
      </c>
      <c r="M29" s="14">
        <f>Таблица3[[#This Row],[Pret receptie unitar/RON]]*Таблица3[[#This Row],[Cantitate de produs]]</f>
        <v>61750</v>
      </c>
      <c r="N29" s="14" t="s">
        <v>14</v>
      </c>
      <c r="O29" s="20">
        <f>Таблица3[[#This Row],[Cantitate de produs]]+20</f>
        <v>1255</v>
      </c>
      <c r="P29" s="14">
        <v>48</v>
      </c>
      <c r="Q29" s="20">
        <f>Таблица3[[#This Row],[Cantitate Total kg]]-Таблица3[[#This Row],[Vandute kg/luna]]</f>
        <v>1207</v>
      </c>
      <c r="R29" s="14">
        <f>Таблица3[[#This Row],[Vandute kg/luna]]*(Таблица3[[#This Row],[Pret receptie unitar/RON]]+((Таблица3[[#This Row],[Pret receptie unitar/RON]]*25)/100))</f>
        <v>3000</v>
      </c>
      <c r="S29" s="20">
        <f>Таблица3[[#This Row],[Vandute/RON]]-Таблица3[[#This Row],[Cheltuieli]]</f>
        <v>-58750</v>
      </c>
    </row>
    <row r="30" spans="1:19" x14ac:dyDescent="0.25">
      <c r="A30" s="14">
        <f t="shared" si="0"/>
        <v>29</v>
      </c>
      <c r="B30" s="14" t="s">
        <v>96</v>
      </c>
      <c r="C30" s="14" t="s">
        <v>35</v>
      </c>
      <c r="D30" s="14" t="s">
        <v>52</v>
      </c>
      <c r="E30" s="15">
        <v>44103</v>
      </c>
      <c r="F30" s="16">
        <v>44140</v>
      </c>
      <c r="G30" s="14" t="s">
        <v>133</v>
      </c>
      <c r="H30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C1 - C20</v>
      </c>
      <c r="I30" s="14">
        <v>4569</v>
      </c>
      <c r="J30" s="14" t="str">
        <f>IF(Таблица3[[#This Row],[Data livrare]]&gt;Таблица3[[#This Row],[Data de receptionate]],Ghid!$D$15,Ghid!$D$16)</f>
        <v xml:space="preserve">Livrat </v>
      </c>
      <c r="K30" s="14" t="s">
        <v>20</v>
      </c>
      <c r="L30" s="14">
        <v>16</v>
      </c>
      <c r="M30" s="14">
        <f>Таблица3[[#This Row],[Pret receptie unitar/RON]]*Таблица3[[#This Row],[Cantitate de produs]]</f>
        <v>73104</v>
      </c>
      <c r="N30" s="14" t="s">
        <v>14</v>
      </c>
      <c r="O30" s="20">
        <f>Таблица3[[#This Row],[Cantitate de produs]]+20</f>
        <v>4589</v>
      </c>
      <c r="P30" s="14">
        <v>99</v>
      </c>
      <c r="Q30" s="20">
        <f>Таблица3[[#This Row],[Cantitate Total kg]]-Таблица3[[#This Row],[Vandute kg/luna]]</f>
        <v>4490</v>
      </c>
      <c r="R30" s="14">
        <f>Таблица3[[#This Row],[Vandute kg/luna]]*(Таблица3[[#This Row],[Pret receptie unitar/RON]]+((Таблица3[[#This Row],[Pret receptie unitar/RON]]*25)/100))</f>
        <v>1980</v>
      </c>
      <c r="S30" s="20">
        <f>Таблица3[[#This Row],[Vandute/RON]]-Таблица3[[#This Row],[Cheltuieli]]</f>
        <v>-71124</v>
      </c>
    </row>
    <row r="31" spans="1:19" x14ac:dyDescent="0.25">
      <c r="A31" s="14">
        <f t="shared" si="0"/>
        <v>30</v>
      </c>
      <c r="B31" s="14" t="s">
        <v>97</v>
      </c>
      <c r="C31" s="14" t="s">
        <v>5</v>
      </c>
      <c r="D31" s="14" t="s">
        <v>127</v>
      </c>
      <c r="E31" s="15">
        <v>44344</v>
      </c>
      <c r="F31" s="16">
        <v>44348</v>
      </c>
      <c r="G31" s="14" t="s">
        <v>131</v>
      </c>
      <c r="H31" s="14" t="str">
        <f>IF(Таблица3[[#This Row],[Denumire grup]]=Ghid!$B$6,"A1 - A10",IF(Таблица3[[#This Row],[Denumire grup]]=Ghid!$B$5,"A11 - A20",IF(Таблица3[[#This Row],[Denumire grup]]=Ghid!$B$7,"B1 - B5",IF(Таблица3[[#This Row],[Denumire grup]]=Ghid!$B$8,"B6 - B15",IF(Таблица3[[#This Row],[Denumire grup]]=Ghid!$B$9,"B16 - B30",IF(Таблица3[[#This Row],[Denumire grup]]=Ghid!$B$10,"C1 - C20","C21 - C30"))))))</f>
        <v>A1 - A10</v>
      </c>
      <c r="I31" s="14">
        <v>456</v>
      </c>
      <c r="J31" s="14" t="str">
        <f>IF(Таблица3[[#This Row],[Data livrare]]&gt;Таблица3[[#This Row],[Data de receptionate]],Ghid!$D$15,Ghid!$D$16)</f>
        <v xml:space="preserve">Livrat </v>
      </c>
      <c r="K31" s="14" t="s">
        <v>20</v>
      </c>
      <c r="L31" s="14">
        <v>25</v>
      </c>
      <c r="M31" s="14">
        <f>Таблица3[[#This Row],[Pret receptie unitar/RON]]*Таблица3[[#This Row],[Cantitate de produs]]</f>
        <v>11400</v>
      </c>
      <c r="N31" s="14" t="s">
        <v>15</v>
      </c>
      <c r="O31" s="20">
        <f>Таблица3[[#This Row],[Cantitate de produs]]+20</f>
        <v>476</v>
      </c>
      <c r="P31" s="14">
        <v>50</v>
      </c>
      <c r="Q31" s="20">
        <f>Таблица3[[#This Row],[Cantitate Total kg]]-Таблица3[[#This Row],[Vandute kg/luna]]</f>
        <v>426</v>
      </c>
      <c r="R31" s="14">
        <f>Таблица3[[#This Row],[Vandute kg/luna]]*(Таблица3[[#This Row],[Pret receptie unitar/RON]]+((Таблица3[[#This Row],[Pret receptie unitar/RON]]*25)/100))</f>
        <v>1562.5</v>
      </c>
      <c r="S31" s="20">
        <f>Таблица3[[#This Row],[Vandute/RON]]-Таблица3[[#This Row],[Cheltuieli]]</f>
        <v>-9837.5</v>
      </c>
    </row>
    <row r="32" spans="1:19" x14ac:dyDescent="0.25">
      <c r="A32" s="14"/>
      <c r="B32" s="27"/>
      <c r="C32" s="14"/>
      <c r="D32" s="14"/>
      <c r="E32" s="15"/>
      <c r="F32" s="16"/>
      <c r="G32" s="14"/>
      <c r="H32" s="14"/>
      <c r="I32" s="14"/>
      <c r="J32" s="20"/>
      <c r="K32" s="20"/>
      <c r="L32" s="14"/>
      <c r="M32" s="20"/>
      <c r="N32" s="14"/>
      <c r="O32" s="20"/>
      <c r="P32" s="14"/>
      <c r="Q32" s="20"/>
      <c r="R32" s="20"/>
      <c r="S32" s="20"/>
    </row>
    <row r="33" spans="1:19" x14ac:dyDescent="0.25">
      <c r="A33" s="14"/>
      <c r="B33" s="14"/>
      <c r="C33" s="14"/>
      <c r="D33" s="14"/>
      <c r="E33" s="15"/>
      <c r="F33" s="16"/>
      <c r="G33" s="14"/>
      <c r="H33" s="14"/>
      <c r="I33" s="14"/>
      <c r="J33" s="20"/>
      <c r="K33" s="20"/>
      <c r="L33" s="14"/>
      <c r="M33" s="20"/>
      <c r="N33" s="14"/>
      <c r="O33" s="20"/>
      <c r="P33" s="14"/>
      <c r="Q33" s="20"/>
      <c r="R33" s="20"/>
      <c r="S33" s="20"/>
    </row>
    <row r="34" spans="1:19" x14ac:dyDescent="0.25">
      <c r="J34" s="14"/>
    </row>
    <row r="35" spans="1:19" x14ac:dyDescent="0.25">
      <c r="J35" s="14"/>
    </row>
    <row r="36" spans="1:19" x14ac:dyDescent="0.25">
      <c r="J36" s="14"/>
    </row>
    <row r="37" spans="1:19" x14ac:dyDescent="0.25">
      <c r="E37" s="33"/>
      <c r="F37" s="33"/>
      <c r="J37" s="14"/>
    </row>
    <row r="38" spans="1:19" x14ac:dyDescent="0.25">
      <c r="J38" s="14"/>
    </row>
    <row r="39" spans="1:19" x14ac:dyDescent="0.25">
      <c r="J39" s="14"/>
    </row>
    <row r="40" spans="1:19" x14ac:dyDescent="0.25">
      <c r="J40" s="14"/>
    </row>
    <row r="41" spans="1:19" x14ac:dyDescent="0.25">
      <c r="J41" s="14"/>
    </row>
    <row r="42" spans="1:19" x14ac:dyDescent="0.25">
      <c r="J42" s="14"/>
    </row>
    <row r="43" spans="1:19" x14ac:dyDescent="0.25">
      <c r="J43" s="14"/>
    </row>
    <row r="44" spans="1:19" x14ac:dyDescent="0.25">
      <c r="J44" s="14"/>
    </row>
    <row r="45" spans="1:19" x14ac:dyDescent="0.25">
      <c r="J45" s="14"/>
    </row>
    <row r="46" spans="1:19" x14ac:dyDescent="0.25">
      <c r="J46" s="14"/>
    </row>
    <row r="47" spans="1:19" x14ac:dyDescent="0.25">
      <c r="J47" s="14"/>
    </row>
    <row r="48" spans="1:19" x14ac:dyDescent="0.25">
      <c r="J48" s="14"/>
    </row>
    <row r="49" spans="10:10" x14ac:dyDescent="0.25">
      <c r="J49" s="14"/>
    </row>
    <row r="50" spans="10:10" x14ac:dyDescent="0.25">
      <c r="J50" s="14"/>
    </row>
    <row r="51" spans="10:10" x14ac:dyDescent="0.25">
      <c r="J51" s="14"/>
    </row>
    <row r="52" spans="10:10" x14ac:dyDescent="0.25">
      <c r="J52" s="14"/>
    </row>
    <row r="53" spans="10:10" x14ac:dyDescent="0.25">
      <c r="J53" s="14"/>
    </row>
    <row r="54" spans="10:10" x14ac:dyDescent="0.25">
      <c r="J54" s="14"/>
    </row>
    <row r="55" spans="10:10" x14ac:dyDescent="0.25">
      <c r="J55" s="14"/>
    </row>
    <row r="56" spans="10:10" x14ac:dyDescent="0.25">
      <c r="J56" s="14"/>
    </row>
    <row r="57" spans="10:10" x14ac:dyDescent="0.25">
      <c r="J57" s="14"/>
    </row>
    <row r="58" spans="10:10" x14ac:dyDescent="0.25">
      <c r="J58" s="14"/>
    </row>
  </sheetData>
  <conditionalFormatting sqref="Q2"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{DAA4BC4A-9243-41F4-B25D-AEA9DCD3EC11}</x14:id>
        </ext>
      </extLst>
    </cfRule>
  </conditionalFormatting>
  <conditionalFormatting sqref="Q2:Q31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{8BB3F61C-373E-476A-B095-B099967AE988}</x14:id>
        </ext>
      </extLst>
    </cfRule>
  </conditionalFormatting>
  <conditionalFormatting sqref="B2:B17 B32">
    <cfRule type="expression" dxfId="32" priority="37">
      <formula>AND(Q2&lt;=5)</formula>
    </cfRule>
  </conditionalFormatting>
  <conditionalFormatting sqref="H2:H31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 H18:H32">
    <cfRule type="expression" dxfId="31" priority="24">
      <formula>H2="A11 - A20"</formula>
    </cfRule>
    <cfRule type="expression" dxfId="30" priority="30">
      <formula>H2="A1 - A10"</formula>
    </cfRule>
    <cfRule type="expression" dxfId="29" priority="31">
      <formula>H2="C21 - C30"</formula>
    </cfRule>
    <cfRule type="expression" dxfId="28" priority="32">
      <formula>H2="B6 - B15"</formula>
    </cfRule>
    <cfRule type="expression" dxfId="27" priority="33">
      <formula>H2="B1 - B5"</formula>
    </cfRule>
    <cfRule type="expression" dxfId="26" priority="34">
      <formula>H2="A1 - A10"</formula>
    </cfRule>
  </conditionalFormatting>
  <conditionalFormatting sqref="H3:H32">
    <cfRule type="expression" dxfId="25" priority="25">
      <formula>H3="A1 - A10"</formula>
    </cfRule>
    <cfRule type="expression" dxfId="24" priority="26">
      <formula>H3="C21 - C30"</formula>
    </cfRule>
    <cfRule type="expression" dxfId="23" priority="27">
      <formula>H3="B6 - B15"</formula>
    </cfRule>
    <cfRule type="expression" dxfId="22" priority="28">
      <formula>H3="B1 - B5"</formula>
    </cfRule>
    <cfRule type="expression" dxfId="21" priority="29">
      <formula>H3="A1 - A10"</formula>
    </cfRule>
  </conditionalFormatting>
  <conditionalFormatting sqref="H3:H17">
    <cfRule type="expression" dxfId="20" priority="18">
      <formula>H3="A11 - A20"</formula>
    </cfRule>
    <cfRule type="expression" dxfId="19" priority="19">
      <formula>H3="A1 - A10"</formula>
    </cfRule>
    <cfRule type="expression" dxfId="18" priority="20">
      <formula>H3="C21 - C30"</formula>
    </cfRule>
    <cfRule type="expression" dxfId="17" priority="21">
      <formula>H3="B6 - B15"</formula>
    </cfRule>
    <cfRule type="expression" dxfId="16" priority="22">
      <formula>H3="B1 - B5"</formula>
    </cfRule>
    <cfRule type="expression" dxfId="15" priority="23">
      <formula>H3="A1 - A10"</formula>
    </cfRule>
  </conditionalFormatting>
  <conditionalFormatting sqref="I2:I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{31DA1EFE-F6AF-4530-9DDC-272E51D5F8EA}</x14:id>
        </ext>
      </extLst>
    </cfRule>
  </conditionalFormatting>
  <dataValidations count="1">
    <dataValidation type="custom" allowBlank="1" showInputMessage="1" showErrorMessage="1" errorTitle="INTRODUSA GRESIT" error="Introduceti va rog &quot;Vandute&quot; mai mic decat &quot;Venit&quot;" sqref="P2:P31">
      <formula1>IF(O2&gt;=P2,TRUE,FALSE)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A4BC4A-9243-41F4-B25D-AEA9DCD3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Q2</xm:sqref>
        </x14:conditionalFormatting>
        <x14:conditionalFormatting xmlns:xm="http://schemas.microsoft.com/office/excel/2006/main">
          <x14:cfRule type="dataBar" id="{8BB3F61C-373E-476A-B095-B099967AE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Q2:Q31</xm:sqref>
        </x14:conditionalFormatting>
        <x14:conditionalFormatting xmlns:xm="http://schemas.microsoft.com/office/excel/2006/main">
          <x14:cfRule type="expression" priority="54" id="{7D2A7B31-A00E-4073-8134-47BB977EEDD0}">
            <xm:f>J2=Ghid!$D$15</xm:f>
            <x14:dxf>
              <fill>
                <patternFill>
                  <bgColor rgb="FF00B050"/>
                </patternFill>
              </fill>
            </x14:dxf>
          </x14:cfRule>
          <x14:cfRule type="expression" priority="55" id="{55DFCB4E-40BF-4BF1-85CF-96A70558D042}">
            <xm:f>J2=Ghid!$D$16</xm:f>
            <x14:dxf>
              <fill>
                <patternFill>
                  <bgColor rgb="FFFFFF00"/>
                </patternFill>
              </fill>
            </x14:dxf>
          </x14:cfRule>
          <x14:cfRule type="expression" priority="56" id="{F25493E3-B1B6-4682-9692-E602B5228B26}">
            <xm:f>J2=Ghid!$D$17</xm:f>
            <x14:dxf>
              <fill>
                <patternFill>
                  <bgColor rgb="FFFF0000"/>
                </patternFill>
              </fill>
            </x14:dxf>
          </x14:cfRule>
          <x14:cfRule type="expression" priority="57" id="{45207CEA-712E-4B59-A16F-72874B0E46CF}">
            <xm:f>J2=Ghid!$D$18</xm:f>
            <x14:dxf>
              <fill>
                <patternFill>
                  <bgColor theme="7" tint="0.59996337778862885"/>
                </patternFill>
              </fill>
            </x14:dxf>
          </x14:cfRule>
          <xm:sqref>J2</xm:sqref>
        </x14:conditionalFormatting>
        <x14:conditionalFormatting xmlns:xm="http://schemas.microsoft.com/office/excel/2006/main">
          <x14:cfRule type="expression" priority="50" id="{E12596D2-9739-4643-8D2D-1093EACABA67}">
            <xm:f>J3=Ghid!$D$15</xm:f>
            <x14:dxf>
              <fill>
                <patternFill>
                  <bgColor rgb="FF00B050"/>
                </patternFill>
              </fill>
            </x14:dxf>
          </x14:cfRule>
          <x14:cfRule type="expression" priority="51" id="{AC842B6F-0F28-4B33-A92E-AACDF732D883}">
            <xm:f>J3=Ghid!$D$16</xm:f>
            <x14:dxf>
              <fill>
                <patternFill>
                  <bgColor rgb="FFFFFF00"/>
                </patternFill>
              </fill>
            </x14:dxf>
          </x14:cfRule>
          <x14:cfRule type="expression" priority="52" id="{83368D40-AE8F-4589-ACC1-0DE05498DE59}">
            <xm:f>J3=Ghid!$D$17</xm:f>
            <x14:dxf>
              <fill>
                <patternFill>
                  <bgColor rgb="FFFF0000"/>
                </patternFill>
              </fill>
            </x14:dxf>
          </x14:cfRule>
          <x14:cfRule type="expression" priority="53" id="{53AA3B13-06B2-45C8-A203-C746B135D2A3}">
            <xm:f>J3=Ghid!$D$18</xm:f>
            <x14:dxf>
              <fill>
                <patternFill>
                  <bgColor theme="7" tint="0.59996337778862885"/>
                </patternFill>
              </fill>
            </x14:dxf>
          </x14:cfRule>
          <xm:sqref>J3:J32</xm:sqref>
        </x14:conditionalFormatting>
        <x14:conditionalFormatting xmlns:xm="http://schemas.microsoft.com/office/excel/2006/main">
          <x14:cfRule type="expression" priority="46" id="{6420040D-53A6-496B-88AD-3CF4D45386C4}">
            <xm:f>J55=Ghid!$D$15</xm:f>
            <x14:dxf>
              <fill>
                <patternFill>
                  <bgColor rgb="FF00B050"/>
                </patternFill>
              </fill>
            </x14:dxf>
          </x14:cfRule>
          <x14:cfRule type="expression" priority="47" id="{998F1B15-C697-4F11-8BD1-69CB5AD20082}">
            <xm:f>J55=Ghid!$D$16</xm:f>
            <x14:dxf>
              <fill>
                <patternFill>
                  <bgColor rgb="FFFFFF00"/>
                </patternFill>
              </fill>
            </x14:dxf>
          </x14:cfRule>
          <x14:cfRule type="expression" priority="48" id="{C331A216-C9D1-433A-9553-8C67FF9B944F}">
            <xm:f>J55=Ghid!$D$17</xm:f>
            <x14:dxf>
              <fill>
                <patternFill>
                  <bgColor rgb="FFFF0000"/>
                </patternFill>
              </fill>
            </x14:dxf>
          </x14:cfRule>
          <x14:cfRule type="expression" priority="49" id="{17AF58ED-5A7B-47F3-9E37-E8F6544B70A5}">
            <xm:f>J55=Ghid!$D$18</xm:f>
            <x14:dxf>
              <fill>
                <patternFill>
                  <bgColor theme="7" tint="0.59996337778862885"/>
                </patternFill>
              </fill>
            </x14:dxf>
          </x14:cfRule>
          <xm:sqref>J55:J58</xm:sqref>
        </x14:conditionalFormatting>
        <x14:conditionalFormatting xmlns:xm="http://schemas.microsoft.com/office/excel/2006/main">
          <x14:cfRule type="expression" priority="38" id="{9464E927-377E-40A2-9795-5E3F6B0CCBF5}">
            <xm:f>J33=Ghid!$D$15</xm:f>
            <x14:dxf>
              <fill>
                <patternFill>
                  <bgColor rgb="FF00B050"/>
                </patternFill>
              </fill>
            </x14:dxf>
          </x14:cfRule>
          <x14:cfRule type="expression" priority="39" id="{F2D4AD69-A011-4F18-929D-A3986F112925}">
            <xm:f>J33=Ghid!$D$16</xm:f>
            <x14:dxf>
              <fill>
                <patternFill>
                  <bgColor rgb="FFFFFF00"/>
                </patternFill>
              </fill>
            </x14:dxf>
          </x14:cfRule>
          <x14:cfRule type="expression" priority="40" id="{59A80F15-24D5-40DE-93ED-F19C60D6415B}">
            <xm:f>J33=Ghid!$D$17</xm:f>
            <x14:dxf>
              <fill>
                <patternFill>
                  <bgColor rgb="FFFF0000"/>
                </patternFill>
              </fill>
            </x14:dxf>
          </x14:cfRule>
          <x14:cfRule type="expression" priority="41" id="{AA4B4DE5-DD28-4738-9AB4-0ACDAF2FF6BF}">
            <xm:f>J33=Ghid!$D$18</xm:f>
            <x14:dxf>
              <fill>
                <patternFill>
                  <bgColor theme="7" tint="0.59996337778862885"/>
                </patternFill>
              </fill>
            </x14:dxf>
          </x14:cfRule>
          <xm:sqref>J33:J54</xm:sqref>
        </x14:conditionalFormatting>
        <x14:conditionalFormatting xmlns:xm="http://schemas.microsoft.com/office/excel/2006/main">
          <x14:cfRule type="dataBar" id="{31DA1EFE-F6AF-4530-9DDC-272E51D5F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I2:I31</xm:sqref>
        </x14:conditionalFormatting>
        <x14:conditionalFormatting xmlns:xm="http://schemas.microsoft.com/office/excel/2006/main">
          <x14:cfRule type="expression" priority="8" id="{162A42F3-40E7-4B84-BF47-A773F529A79F}">
            <xm:f>C2=Ghid!$B$10</xm:f>
            <x14:dxf>
              <fill>
                <patternFill>
                  <bgColor theme="0"/>
                </patternFill>
              </fill>
            </x14:dxf>
          </x14:cfRule>
          <x14:cfRule type="expression" priority="9" id="{0D440B7C-4FF3-4C30-B61D-EA01C34DC2E9}">
            <xm:f>C2=Ghid!$B$9</xm:f>
            <x14:dxf>
              <fill>
                <patternFill>
                  <bgColor theme="9" tint="-0.499984740745262"/>
                </patternFill>
              </fill>
            </x14:dxf>
          </x14:cfRule>
          <x14:cfRule type="expression" priority="10" id="{3C920884-5584-4E9F-B0DD-8D75A6A4A272}">
            <xm:f>C2=Ghid!$B$8</xm:f>
            <x14:dxf>
              <fill>
                <patternFill>
                  <bgColor theme="9" tint="-0.24994659260841701"/>
                </patternFill>
              </fill>
            </x14:dxf>
          </x14:cfRule>
          <x14:cfRule type="expression" priority="11" id="{8FC0BF85-AD69-48A3-8C38-3053A90EBCE4}">
            <xm:f>C2=Ghid!$B$7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2" id="{F1E2AB67-60C2-4F4B-AF15-43D8CBA72532}">
            <xm:f>C2=Ghid!$B$6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94216F25-0F18-4EC0-AD7D-DAEF2B89E47C}">
            <xm:f>C2=Ghid!$B$5</xm:f>
            <x14:dxf>
              <fill>
                <patternFill>
                  <bgColor theme="9" tint="0.79998168889431442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2" id="{B6C8796A-DF52-4215-BFB6-59AC7F5E2DCB}">
            <xm:f>C3=Ghid!$B$10</xm:f>
            <x14:dxf>
              <fill>
                <patternFill>
                  <bgColor theme="0"/>
                </patternFill>
              </fill>
            </x14:dxf>
          </x14:cfRule>
          <x14:cfRule type="expression" priority="3" id="{88E31193-ACF5-4D62-8DF6-9E087ACD592C}">
            <xm:f>C3=Ghid!$B$9</xm:f>
            <x14:dxf>
              <fill>
                <patternFill>
                  <bgColor theme="9" tint="-0.499984740745262"/>
                </patternFill>
              </fill>
            </x14:dxf>
          </x14:cfRule>
          <x14:cfRule type="expression" priority="4" id="{EB34381E-5B6D-41C1-9274-0963BB1D4283}">
            <xm:f>C3=Ghid!$B$8</xm:f>
            <x14:dxf>
              <fill>
                <patternFill>
                  <bgColor theme="9" tint="-0.24994659260841701"/>
                </patternFill>
              </fill>
            </x14:dxf>
          </x14:cfRule>
          <x14:cfRule type="expression" priority="5" id="{4C937DAA-107A-4965-BFE9-C4F50A053925}">
            <xm:f>C3=Ghid!$B$7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" id="{AFD35213-55C1-45C6-BA35-AC276FC25D9B}">
            <xm:f>C3=Ghid!$B$6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9BD1892E-529A-47AA-9751-820C2BB6F84D}">
            <xm:f>C3=Ghid!$B$5</xm:f>
            <x14:dxf>
              <fill>
                <patternFill>
                  <bgColor theme="9"/>
                </patternFill>
              </fill>
            </x14:dxf>
          </x14:cfRule>
          <xm:sqref>C3:C31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Ghid!$B$5:$B$11</xm:f>
          </x14:formula1>
          <xm:sqref>C2:C31</xm:sqref>
        </x14:dataValidation>
        <x14:dataValidation type="list" allowBlank="1" showInputMessage="1" showErrorMessage="1">
          <x14:formula1>
            <xm:f>Ghid!$D$5:$D$11</xm:f>
          </x14:formula1>
          <xm:sqref>G2:G31</xm:sqref>
        </x14:dataValidation>
        <x14:dataValidation type="list" allowBlank="1" showInputMessage="1" showErrorMessage="1">
          <x14:formula1>
            <xm:f>Ghid!$F$5:$F$11</xm:f>
          </x14:formula1>
          <xm:sqref>D2:D31</xm:sqref>
        </x14:dataValidation>
        <x14:dataValidation type="list" allowBlank="1" showInputMessage="1" showErrorMessage="1">
          <x14:formula1>
            <xm:f>Ghid!$H$5:$H$11</xm:f>
          </x14:formula1>
          <xm:sqref>N2:N31</xm:sqref>
        </x14:dataValidation>
        <x14:dataValidation type="list" allowBlank="1" showInputMessage="1" showErrorMessage="1">
          <x14:formula1>
            <xm:f>Ghid!$B$15:$B$22</xm:f>
          </x14:formula1>
          <xm:sqref>K3:K10 K12:K32</xm:sqref>
        </x14:dataValidation>
        <x14:dataValidation type="list" allowBlank="1" showInputMessage="1" showErrorMessage="1">
          <x14:formula1>
            <xm:f>Ghid!$B$15:$B$29</xm:f>
          </x14:formula1>
          <xm:sqref>K2 K11</xm:sqref>
        </x14:dataValidation>
        <x14:dataValidation type="list" allowBlank="1" showInputMessage="1" showErrorMessage="1">
          <x14:formula1>
            <xm:f>Ghid!$D$15:$D$18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L45"/>
  <sheetViews>
    <sheetView zoomScaleNormal="100" workbookViewId="0">
      <selection activeCell="F4" sqref="F4"/>
    </sheetView>
  </sheetViews>
  <sheetFormatPr defaultRowHeight="15" x14ac:dyDescent="0.25"/>
  <cols>
    <col min="1" max="1" width="9.5703125" customWidth="1"/>
    <col min="2" max="2" width="22.7109375" customWidth="1"/>
    <col min="3" max="3" width="17.5703125" customWidth="1"/>
    <col min="4" max="4" width="13.7109375" style="12" customWidth="1"/>
    <col min="5" max="5" width="13" customWidth="1"/>
    <col min="6" max="6" width="14" customWidth="1"/>
    <col min="7" max="7" width="14.7109375" customWidth="1"/>
    <col min="8" max="8" width="13.85546875" customWidth="1"/>
    <col min="9" max="9" width="11.42578125" customWidth="1"/>
    <col min="10" max="10" width="11.7109375" style="14" customWidth="1"/>
    <col min="11" max="11" width="11.42578125" customWidth="1"/>
    <col min="12" max="12" width="17.28515625" customWidth="1"/>
  </cols>
  <sheetData>
    <row r="3" spans="1:12" x14ac:dyDescent="0.25">
      <c r="A3" s="18" t="s">
        <v>57</v>
      </c>
      <c r="B3" s="18" t="s">
        <v>4</v>
      </c>
      <c r="C3" s="18" t="s">
        <v>66</v>
      </c>
      <c r="D3" s="19" t="s">
        <v>64</v>
      </c>
      <c r="E3" s="18" t="s">
        <v>58</v>
      </c>
      <c r="F3" s="18" t="s">
        <v>59</v>
      </c>
      <c r="G3" s="18" t="s">
        <v>60</v>
      </c>
      <c r="H3" s="18" t="s">
        <v>61</v>
      </c>
      <c r="I3" s="18" t="s">
        <v>62</v>
      </c>
      <c r="J3" s="14" t="s">
        <v>63</v>
      </c>
      <c r="K3" s="18" t="s">
        <v>65</v>
      </c>
      <c r="L3" s="18" t="s">
        <v>108</v>
      </c>
    </row>
    <row r="4" spans="1:12" x14ac:dyDescent="0.25">
      <c r="A4" s="14">
        <v>1</v>
      </c>
      <c r="B4" s="14" t="s">
        <v>67</v>
      </c>
      <c r="C4" s="14" t="s">
        <v>75</v>
      </c>
      <c r="D4" s="16">
        <v>43963</v>
      </c>
      <c r="E4" s="14">
        <v>456</v>
      </c>
      <c r="F4" s="14">
        <v>789</v>
      </c>
      <c r="G4" s="14">
        <v>46</v>
      </c>
      <c r="H4" s="14">
        <v>1258</v>
      </c>
      <c r="I4" s="14">
        <v>696</v>
      </c>
      <c r="J4" s="14">
        <v>123</v>
      </c>
      <c r="K4" s="14">
        <f>Таблица2[[#This Row],[Ianuarie]]+Таблица2[[#This Row],[Februarie]]+Таблица2[[#This Row],[Martie]]+Таблица2[[#This Row],[Aprilie]]+Таблица2[[#This Row],[Mai]]</f>
        <v>3245</v>
      </c>
      <c r="L4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561.33000000000004</v>
      </c>
    </row>
    <row r="5" spans="1:12" x14ac:dyDescent="0.25">
      <c r="A5" s="14">
        <v>2</v>
      </c>
      <c r="B5" s="14" t="s">
        <v>68</v>
      </c>
      <c r="C5" s="14" t="s">
        <v>76</v>
      </c>
      <c r="D5" s="16">
        <v>43860</v>
      </c>
      <c r="E5" s="14">
        <v>45</v>
      </c>
      <c r="F5" s="14">
        <v>1258</v>
      </c>
      <c r="G5" s="14">
        <v>4569</v>
      </c>
      <c r="H5" s="14">
        <v>963</v>
      </c>
      <c r="I5" s="14">
        <v>96</v>
      </c>
      <c r="J5" s="14">
        <v>458</v>
      </c>
      <c r="K5" s="14">
        <f>Таблица2[[#This Row],[Ianuarie]]+Таблица2[[#This Row],[Februarie]]+Таблица2[[#This Row],[Martie]]+Таблица2[[#This Row],[Aprilie]]+Таблица2[[#This Row],[Mai]]</f>
        <v>6931</v>
      </c>
      <c r="L5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1231.5</v>
      </c>
    </row>
    <row r="6" spans="1:12" x14ac:dyDescent="0.25">
      <c r="A6" s="14">
        <v>3</v>
      </c>
      <c r="B6" s="14" t="s">
        <v>9</v>
      </c>
      <c r="C6" s="14" t="s">
        <v>77</v>
      </c>
      <c r="D6" s="16">
        <v>43835</v>
      </c>
      <c r="E6" s="14">
        <v>78</v>
      </c>
      <c r="F6" s="14">
        <v>565</v>
      </c>
      <c r="G6" s="14">
        <v>963</v>
      </c>
      <c r="H6" s="14">
        <v>696</v>
      </c>
      <c r="I6" s="14">
        <v>966</v>
      </c>
      <c r="J6" s="14">
        <v>963</v>
      </c>
      <c r="K6" s="14">
        <f>Таблица2[[#This Row],[Ianuarie]]+Таблица2[[#This Row],[Februarie]]+Таблица2[[#This Row],[Martie]]+Таблица2[[#This Row],[Aprilie]]+Таблица2[[#This Row],[Mai]]</f>
        <v>3268</v>
      </c>
      <c r="L6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705.17</v>
      </c>
    </row>
    <row r="7" spans="1:12" x14ac:dyDescent="0.25">
      <c r="A7" s="14">
        <v>4</v>
      </c>
      <c r="B7" s="14" t="s">
        <v>69</v>
      </c>
      <c r="C7" s="14" t="s">
        <v>78</v>
      </c>
      <c r="D7" s="16">
        <v>43966</v>
      </c>
      <c r="E7" s="14">
        <v>36</v>
      </c>
      <c r="F7" s="14">
        <v>562</v>
      </c>
      <c r="G7" s="14">
        <v>789</v>
      </c>
      <c r="H7" s="14">
        <v>365</v>
      </c>
      <c r="I7" s="14">
        <v>465</v>
      </c>
      <c r="J7" s="14">
        <v>456</v>
      </c>
      <c r="K7" s="14">
        <f>Таблица2[[#This Row],[Ianuarie]]+Таблица2[[#This Row],[Februarie]]+Таблица2[[#This Row],[Martie]]+Таблица2[[#This Row],[Aprilie]]+Таблица2[[#This Row],[Mai]]</f>
        <v>2217</v>
      </c>
      <c r="L7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445.5</v>
      </c>
    </row>
    <row r="8" spans="1:12" x14ac:dyDescent="0.25">
      <c r="A8" s="14">
        <v>5</v>
      </c>
      <c r="B8" s="14" t="s">
        <v>70</v>
      </c>
      <c r="C8" s="14" t="s">
        <v>79</v>
      </c>
      <c r="D8" s="16">
        <v>44002</v>
      </c>
      <c r="E8" s="14">
        <v>961</v>
      </c>
      <c r="F8" s="14">
        <v>359</v>
      </c>
      <c r="G8" s="14">
        <v>4123</v>
      </c>
      <c r="H8" s="14">
        <v>565</v>
      </c>
      <c r="I8" s="14">
        <v>2121</v>
      </c>
      <c r="J8" s="14">
        <v>131</v>
      </c>
      <c r="K8" s="14">
        <f>Таблица2[[#This Row],[Ianuarie]]+Таблица2[[#This Row],[Februarie]]+Таблица2[[#This Row],[Martie]]+Таблица2[[#This Row],[Aprilie]]+Таблица2[[#This Row],[Mai]]</f>
        <v>8129</v>
      </c>
      <c r="L8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1376.67</v>
      </c>
    </row>
    <row r="9" spans="1:12" x14ac:dyDescent="0.25">
      <c r="A9" s="14">
        <v>6</v>
      </c>
      <c r="B9" s="14" t="s">
        <v>71</v>
      </c>
      <c r="C9" s="14" t="s">
        <v>80</v>
      </c>
      <c r="D9" s="16">
        <v>44129</v>
      </c>
      <c r="E9" s="14">
        <v>11</v>
      </c>
      <c r="F9" s="14">
        <v>1216</v>
      </c>
      <c r="G9" s="14">
        <v>1654</v>
      </c>
      <c r="H9" s="14">
        <v>6332</v>
      </c>
      <c r="I9" s="14">
        <v>56</v>
      </c>
      <c r="J9" s="14">
        <v>132</v>
      </c>
      <c r="K9" s="14">
        <f>Таблица2[[#This Row],[Ianuarie]]+Таблица2[[#This Row],[Februarie]]+Таблица2[[#This Row],[Martie]]+Таблица2[[#This Row],[Aprilie]]+Таблица2[[#This Row],[Mai]]</f>
        <v>9269</v>
      </c>
      <c r="L9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1566.83</v>
      </c>
    </row>
    <row r="10" spans="1:12" x14ac:dyDescent="0.25">
      <c r="A10" s="14">
        <v>7</v>
      </c>
      <c r="B10" s="14" t="s">
        <v>72</v>
      </c>
      <c r="C10" s="14" t="s">
        <v>81</v>
      </c>
      <c r="D10" s="16" t="s">
        <v>144</v>
      </c>
      <c r="E10" s="14">
        <f>4+4</f>
        <v>8</v>
      </c>
      <c r="F10" s="14">
        <v>323</v>
      </c>
      <c r="G10" s="14">
        <v>2121</v>
      </c>
      <c r="H10" s="14">
        <v>121</v>
      </c>
      <c r="I10" s="14">
        <v>113</v>
      </c>
      <c r="J10" s="14">
        <v>161</v>
      </c>
      <c r="K10" s="14">
        <f>Таблица2[[#This Row],[Ianuarie]]+Таблица2[[#This Row],[Februarie]]+Таблица2[[#This Row],[Martie]]+Таблица2[[#This Row],[Aprilie]]+Таблица2[[#This Row],[Mai]]</f>
        <v>2686</v>
      </c>
      <c r="L10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474.5</v>
      </c>
    </row>
    <row r="11" spans="1:12" x14ac:dyDescent="0.25">
      <c r="A11" s="14">
        <v>8</v>
      </c>
      <c r="B11" s="14" t="s">
        <v>73</v>
      </c>
      <c r="C11" s="14" t="s">
        <v>75</v>
      </c>
      <c r="D11" s="16">
        <v>44270</v>
      </c>
      <c r="E11" s="14">
        <v>123</v>
      </c>
      <c r="F11" s="14">
        <v>633</v>
      </c>
      <c r="G11" s="14">
        <v>221</v>
      </c>
      <c r="H11" s="14">
        <v>2131</v>
      </c>
      <c r="I11" s="14">
        <v>2</v>
      </c>
      <c r="J11" s="14">
        <v>646</v>
      </c>
      <c r="K11" s="14">
        <f>Таблица2[[#This Row],[Ianuarie]]+Таблица2[[#This Row],[Februarie]]+Таблица2[[#This Row],[Martie]]+Таблица2[[#This Row],[Aprilie]]+Таблица2[[#This Row],[Mai]]</f>
        <v>3110</v>
      </c>
      <c r="L11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626</v>
      </c>
    </row>
    <row r="12" spans="1:12" x14ac:dyDescent="0.25">
      <c r="A12" s="14">
        <v>9</v>
      </c>
      <c r="B12" s="14" t="s">
        <v>74</v>
      </c>
      <c r="C12" s="14" t="s">
        <v>76</v>
      </c>
      <c r="D12" s="16">
        <v>44301</v>
      </c>
      <c r="E12" s="14">
        <v>696</v>
      </c>
      <c r="F12" s="14">
        <v>212</v>
      </c>
      <c r="G12" s="14">
        <v>963</v>
      </c>
      <c r="H12" s="14">
        <v>54</v>
      </c>
      <c r="I12" s="14"/>
      <c r="J12" s="14">
        <v>213</v>
      </c>
      <c r="K12" s="14">
        <f>Таблица2[[#This Row],[Ianuarie]]+Таблица2[[#This Row],[Februarie]]+Таблица2[[#This Row],[Martie]]+Таблица2[[#This Row],[Aprilie]]+Таблица2[[#This Row],[Mai]]</f>
        <v>1925</v>
      </c>
      <c r="L12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356.33</v>
      </c>
    </row>
    <row r="13" spans="1:12" x14ac:dyDescent="0.25">
      <c r="A13" s="14">
        <v>10</v>
      </c>
      <c r="B13" s="14" t="s">
        <v>92</v>
      </c>
      <c r="C13" s="14" t="s">
        <v>77</v>
      </c>
      <c r="D13" s="16">
        <v>44301</v>
      </c>
      <c r="E13" s="14">
        <v>34</v>
      </c>
      <c r="F13" s="14">
        <v>3321</v>
      </c>
      <c r="G13" s="14">
        <v>1214</v>
      </c>
      <c r="H13" s="14">
        <v>512</v>
      </c>
      <c r="I13" s="14">
        <v>33</v>
      </c>
      <c r="J13" s="14">
        <v>465</v>
      </c>
      <c r="K13" s="14">
        <f>Таблица2[[#This Row],[Ianuarie]]+Таблица2[[#This Row],[Februarie]]+Таблица2[[#This Row],[Martie]]+Таблица2[[#This Row],[Aprilie]]+Таблица2[[#This Row],[Mai]]</f>
        <v>5114</v>
      </c>
      <c r="L13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929.83</v>
      </c>
    </row>
    <row r="14" spans="1:12" x14ac:dyDescent="0.25">
      <c r="A14" s="14">
        <v>11</v>
      </c>
      <c r="B14" s="14" t="s">
        <v>91</v>
      </c>
      <c r="C14" s="14" t="s">
        <v>78</v>
      </c>
      <c r="D14" s="16">
        <v>44332</v>
      </c>
      <c r="E14" s="14">
        <v>1328</v>
      </c>
      <c r="F14" s="14">
        <v>132</v>
      </c>
      <c r="G14" s="14">
        <v>212</v>
      </c>
      <c r="H14" s="14">
        <v>132</v>
      </c>
      <c r="I14" s="14">
        <v>55</v>
      </c>
      <c r="J14" s="14">
        <v>322</v>
      </c>
      <c r="K14" s="14">
        <f>Таблица2[[#This Row],[Ianuarie]]+Таблица2[[#This Row],[Februarie]]+Таблица2[[#This Row],[Martie]]+Таблица2[[#This Row],[Aprilie]]+Таблица2[[#This Row],[Mai]]</f>
        <v>1859</v>
      </c>
      <c r="L14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363.5</v>
      </c>
    </row>
    <row r="15" spans="1:12" x14ac:dyDescent="0.25">
      <c r="A15" s="14">
        <v>12</v>
      </c>
      <c r="B15" s="14" t="s">
        <v>93</v>
      </c>
      <c r="C15" s="14" t="s">
        <v>79</v>
      </c>
      <c r="D15" s="16">
        <v>44332</v>
      </c>
      <c r="E15" s="14">
        <v>265</v>
      </c>
      <c r="F15" s="14">
        <v>866</v>
      </c>
      <c r="G15" s="14">
        <v>32</v>
      </c>
      <c r="H15" s="14">
        <v>212</v>
      </c>
      <c r="I15" s="14">
        <v>96</v>
      </c>
      <c r="J15" s="14">
        <v>133</v>
      </c>
      <c r="K15" s="14">
        <f>Таблица2[[#This Row],[Ianuarie]]+Таблица2[[#This Row],[Februarie]]+Таблица2[[#This Row],[Martie]]+Таблица2[[#This Row],[Aprilie]]+Таблица2[[#This Row],[Mai]]</f>
        <v>1471</v>
      </c>
      <c r="L15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267.33</v>
      </c>
    </row>
    <row r="16" spans="1:12" x14ac:dyDescent="0.25">
      <c r="A16" s="14">
        <v>13</v>
      </c>
      <c r="B16" s="14" t="s">
        <v>94</v>
      </c>
      <c r="C16" s="14" t="s">
        <v>80</v>
      </c>
      <c r="D16" s="16">
        <v>44336</v>
      </c>
      <c r="E16" s="14">
        <v>133</v>
      </c>
      <c r="F16" s="14">
        <v>3121</v>
      </c>
      <c r="G16" s="14">
        <v>213</v>
      </c>
      <c r="H16" s="14">
        <v>449</v>
      </c>
      <c r="I16" s="14">
        <v>544</v>
      </c>
      <c r="J16" s="14">
        <v>489</v>
      </c>
      <c r="K16" s="14">
        <f>Таблица2[[#This Row],[Ianuarie]]+Таблица2[[#This Row],[Februarie]]+Таблица2[[#This Row],[Martie]]+Таблица2[[#This Row],[Aprilie]]+Таблица2[[#This Row],[Mai]]</f>
        <v>4460</v>
      </c>
      <c r="L16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824.83</v>
      </c>
    </row>
    <row r="17" spans="1:12" x14ac:dyDescent="0.25">
      <c r="A17" s="14">
        <v>14</v>
      </c>
      <c r="B17" s="14" t="s">
        <v>95</v>
      </c>
      <c r="C17" s="14" t="s">
        <v>81</v>
      </c>
      <c r="D17" s="16">
        <v>44337</v>
      </c>
      <c r="E17" s="14">
        <v>996</v>
      </c>
      <c r="F17" s="14">
        <v>213</v>
      </c>
      <c r="G17" s="14">
        <v>45</v>
      </c>
      <c r="H17" s="14">
        <v>211</v>
      </c>
      <c r="I17" s="14">
        <v>12</v>
      </c>
      <c r="J17" s="14">
        <v>963</v>
      </c>
      <c r="K17" s="14">
        <f>Таблица2[[#This Row],[Ianuarie]]+Таблица2[[#This Row],[Februarie]]+Таблица2[[#This Row],[Martie]]+Таблица2[[#This Row],[Aprilie]]+Таблица2[[#This Row],[Mai]]</f>
        <v>1477</v>
      </c>
      <c r="L17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406.67</v>
      </c>
    </row>
    <row r="18" spans="1:12" x14ac:dyDescent="0.25">
      <c r="A18" s="14">
        <v>15</v>
      </c>
      <c r="B18" s="14" t="s">
        <v>96</v>
      </c>
      <c r="C18" s="14" t="s">
        <v>75</v>
      </c>
      <c r="D18" s="16">
        <v>44341</v>
      </c>
      <c r="E18" s="14">
        <v>654</v>
      </c>
      <c r="F18" s="14">
        <v>963</v>
      </c>
      <c r="G18" s="14">
        <v>896</v>
      </c>
      <c r="H18" s="14">
        <v>3123</v>
      </c>
      <c r="I18" s="14">
        <v>213</v>
      </c>
      <c r="J18" s="14">
        <v>132</v>
      </c>
      <c r="K18" s="14">
        <f>Таблица2[[#This Row],[Ianuarie]]+Таблица2[[#This Row],[Februarie]]+Таблица2[[#This Row],[Martie]]+Таблица2[[#This Row],[Aprilie]]+Таблица2[[#This Row],[Mai]]</f>
        <v>5849</v>
      </c>
      <c r="L18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996.83</v>
      </c>
    </row>
    <row r="19" spans="1:12" x14ac:dyDescent="0.25">
      <c r="A19" s="14">
        <v>16</v>
      </c>
      <c r="B19" s="14" t="s">
        <v>97</v>
      </c>
      <c r="C19" s="14" t="s">
        <v>76</v>
      </c>
      <c r="D19" s="16">
        <v>44341</v>
      </c>
      <c r="E19" s="14">
        <v>13</v>
      </c>
      <c r="F19" s="14">
        <v>362</v>
      </c>
      <c r="G19" s="14">
        <v>4121</v>
      </c>
      <c r="H19" s="14">
        <v>2330</v>
      </c>
      <c r="I19" s="14">
        <v>49</v>
      </c>
      <c r="J19" s="14">
        <v>798</v>
      </c>
      <c r="K19" s="14">
        <f>Таблица2[[#This Row],[Ianuarie]]+Таблица2[[#This Row],[Februarie]]+Таблица2[[#This Row],[Martie]]+Таблица2[[#This Row],[Aprilie]]+Таблица2[[#This Row],[Mai]]</f>
        <v>6875</v>
      </c>
      <c r="L19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1278.83</v>
      </c>
    </row>
    <row r="20" spans="1:12" x14ac:dyDescent="0.25">
      <c r="A20" s="14">
        <v>17</v>
      </c>
      <c r="B20" s="14" t="s">
        <v>98</v>
      </c>
      <c r="C20" s="14" t="s">
        <v>77</v>
      </c>
      <c r="D20" s="16">
        <v>44337</v>
      </c>
      <c r="E20" s="14">
        <v>1423</v>
      </c>
      <c r="F20" s="14">
        <v>489</v>
      </c>
      <c r="G20" s="14">
        <v>963</v>
      </c>
      <c r="H20" s="14">
        <v>1235</v>
      </c>
      <c r="I20" s="14">
        <v>21</v>
      </c>
      <c r="J20" s="14">
        <v>151</v>
      </c>
      <c r="K20" s="14">
        <f>Таблица2[[#This Row],[Ianuarie]]+Таблица2[[#This Row],[Februarie]]+Таблица2[[#This Row],[Martie]]+Таблица2[[#This Row],[Aprilie]]+Таблица2[[#This Row],[Mai]]</f>
        <v>4131</v>
      </c>
      <c r="L20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713.67</v>
      </c>
    </row>
    <row r="21" spans="1:12" x14ac:dyDescent="0.25">
      <c r="A21" s="14">
        <v>18</v>
      </c>
      <c r="B21" s="14" t="s">
        <v>99</v>
      </c>
      <c r="C21" s="14" t="s">
        <v>78</v>
      </c>
      <c r="D21" s="16">
        <v>44341</v>
      </c>
      <c r="E21" s="14">
        <v>985</v>
      </c>
      <c r="F21" s="14">
        <v>6321</v>
      </c>
      <c r="G21" s="14">
        <v>2335</v>
      </c>
      <c r="H21" s="14">
        <v>897</v>
      </c>
      <c r="I21" s="14">
        <v>213</v>
      </c>
      <c r="J21" s="14">
        <v>21</v>
      </c>
      <c r="K21" s="14">
        <f>Таблица2[[#This Row],[Ianuarie]]+Таблица2[[#This Row],[Februarie]]+Таблица2[[#This Row],[Martie]]+Таблица2[[#This Row],[Aprilie]]+Таблица2[[#This Row],[Mai]]</f>
        <v>10751</v>
      </c>
      <c r="L21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1795.33</v>
      </c>
    </row>
    <row r="22" spans="1:12" x14ac:dyDescent="0.25">
      <c r="A22" s="14">
        <v>19</v>
      </c>
      <c r="B22" s="14" t="s">
        <v>100</v>
      </c>
      <c r="C22" s="14" t="s">
        <v>79</v>
      </c>
      <c r="D22" s="16">
        <v>44341</v>
      </c>
      <c r="E22" s="14">
        <v>4523</v>
      </c>
      <c r="F22" s="14">
        <v>885</v>
      </c>
      <c r="G22" s="14">
        <v>451</v>
      </c>
      <c r="H22" s="14">
        <v>454</v>
      </c>
      <c r="I22" s="14">
        <v>498</v>
      </c>
      <c r="J22" s="14">
        <v>113</v>
      </c>
      <c r="K22" s="14">
        <f>Таблица2[[#This Row],[Ianuarie]]+Таблица2[[#This Row],[Februarie]]+Таблица2[[#This Row],[Martie]]+Таблица2[[#This Row],[Aprilie]]+Таблица2[[#This Row],[Mai]]</f>
        <v>6811</v>
      </c>
      <c r="L22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1154</v>
      </c>
    </row>
    <row r="23" spans="1:12" x14ac:dyDescent="0.25">
      <c r="A23" s="14">
        <v>20</v>
      </c>
      <c r="B23" s="14" t="s">
        <v>101</v>
      </c>
      <c r="C23" s="14" t="s">
        <v>81</v>
      </c>
      <c r="D23" s="16">
        <v>44270</v>
      </c>
      <c r="E23" s="14">
        <v>456</v>
      </c>
      <c r="F23" s="14">
        <v>795</v>
      </c>
      <c r="G23" s="14">
        <v>58</v>
      </c>
      <c r="H23" s="14">
        <v>122</v>
      </c>
      <c r="I23" s="14">
        <v>465</v>
      </c>
      <c r="J23" s="14">
        <v>896</v>
      </c>
      <c r="K23" s="14">
        <f>Таблица2[[#This Row],[Ianuarie]]+Таблица2[[#This Row],[Februarie]]+Таблица2[[#This Row],[Martie]]+Таблица2[[#This Row],[Aprilie]]+Таблица2[[#This Row],[Mai]]</f>
        <v>1896</v>
      </c>
      <c r="L23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465.33</v>
      </c>
    </row>
    <row r="24" spans="1:12" x14ac:dyDescent="0.25">
      <c r="A24" s="14">
        <v>21</v>
      </c>
      <c r="B24" s="14" t="s">
        <v>102</v>
      </c>
      <c r="C24" s="14" t="s">
        <v>75</v>
      </c>
      <c r="D24" s="16">
        <v>44301</v>
      </c>
      <c r="E24" s="14">
        <v>328</v>
      </c>
      <c r="F24" s="14">
        <v>646</v>
      </c>
      <c r="G24" s="14">
        <v>26</v>
      </c>
      <c r="H24" s="14">
        <v>565</v>
      </c>
      <c r="I24" s="14">
        <v>232</v>
      </c>
      <c r="J24" s="14">
        <v>1654</v>
      </c>
      <c r="K24" s="14">
        <f>Таблица2[[#This Row],[Ianuarie]]+Таблица2[[#This Row],[Februarie]]+Таблица2[[#This Row],[Martie]]+Таблица2[[#This Row],[Aprilie]]+Таблица2[[#This Row],[Mai]]</f>
        <v>1797</v>
      </c>
      <c r="L24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575.16999999999996</v>
      </c>
    </row>
    <row r="25" spans="1:12" x14ac:dyDescent="0.25">
      <c r="A25" s="14">
        <v>22</v>
      </c>
      <c r="B25" s="14" t="s">
        <v>103</v>
      </c>
      <c r="C25" s="14" t="s">
        <v>76</v>
      </c>
      <c r="D25" s="16">
        <v>44301</v>
      </c>
      <c r="E25" s="14">
        <v>98</v>
      </c>
      <c r="F25" s="14">
        <v>798</v>
      </c>
      <c r="G25" s="14">
        <v>654</v>
      </c>
      <c r="H25" s="14">
        <v>465</v>
      </c>
      <c r="I25" s="14">
        <v>546</v>
      </c>
      <c r="J25" s="14">
        <v>546</v>
      </c>
      <c r="K25" s="14">
        <f>Таблица2[[#This Row],[Ianuarie]]+Таблица2[[#This Row],[Februarie]]+Таблица2[[#This Row],[Martie]]+Таблица2[[#This Row],[Aprilie]]+Таблица2[[#This Row],[Mai]]</f>
        <v>2561</v>
      </c>
      <c r="L25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517.83000000000004</v>
      </c>
    </row>
    <row r="26" spans="1:12" x14ac:dyDescent="0.25">
      <c r="A26" s="14">
        <v>23</v>
      </c>
      <c r="B26" s="14" t="s">
        <v>117</v>
      </c>
      <c r="C26" s="14" t="s">
        <v>77</v>
      </c>
      <c r="D26" s="16">
        <v>44332</v>
      </c>
      <c r="E26" s="14">
        <v>46</v>
      </c>
      <c r="F26" s="14">
        <v>1456</v>
      </c>
      <c r="G26" s="14">
        <v>5465</v>
      </c>
      <c r="H26" s="14">
        <v>989</v>
      </c>
      <c r="I26" s="14">
        <v>963</v>
      </c>
      <c r="J26" s="14">
        <v>454</v>
      </c>
      <c r="K26" s="14">
        <f>Таблица2[[#This Row],[Ianuarie]]+Таблица2[[#This Row],[Februarie]]+Таблица2[[#This Row],[Martie]]+Таблица2[[#This Row],[Aprilie]]+Таблица2[[#This Row],[Mai]]</f>
        <v>8919</v>
      </c>
      <c r="L26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1562.17</v>
      </c>
    </row>
    <row r="27" spans="1:12" x14ac:dyDescent="0.25">
      <c r="A27" s="14">
        <v>24</v>
      </c>
      <c r="B27" s="14" t="s">
        <v>118</v>
      </c>
      <c r="C27" s="14" t="s">
        <v>78</v>
      </c>
      <c r="D27" s="16">
        <v>44341</v>
      </c>
      <c r="E27" s="14">
        <v>1321</v>
      </c>
      <c r="F27" s="14">
        <v>562</v>
      </c>
      <c r="G27" s="14">
        <v>5</v>
      </c>
      <c r="H27" s="14">
        <v>788</v>
      </c>
      <c r="I27" s="14">
        <v>2312</v>
      </c>
      <c r="J27" s="14">
        <v>115</v>
      </c>
      <c r="K27" s="14">
        <f>Таблица2[[#This Row],[Ianuarie]]+Таблица2[[#This Row],[Februarie]]+Таблица2[[#This Row],[Martie]]+Таблица2[[#This Row],[Aprilie]]+Таблица2[[#This Row],[Mai]]</f>
        <v>4988</v>
      </c>
      <c r="L27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850.5</v>
      </c>
    </row>
    <row r="28" spans="1:12" x14ac:dyDescent="0.25">
      <c r="A28" s="14">
        <v>25</v>
      </c>
      <c r="B28" s="14" t="s">
        <v>119</v>
      </c>
      <c r="C28" s="14" t="s">
        <v>79</v>
      </c>
      <c r="D28" s="16">
        <v>44341</v>
      </c>
      <c r="E28" s="14">
        <v>798</v>
      </c>
      <c r="F28" s="14">
        <v>338</v>
      </c>
      <c r="G28" s="14">
        <v>133</v>
      </c>
      <c r="H28" s="14">
        <v>412</v>
      </c>
      <c r="I28" s="14">
        <v>212</v>
      </c>
      <c r="J28" s="14">
        <v>654</v>
      </c>
      <c r="K28" s="14">
        <f>Таблица2[[#This Row],[Ianuarie]]+Таблица2[[#This Row],[Februarie]]+Таблица2[[#This Row],[Martie]]+Таблица2[[#This Row],[Aprilie]]+Таблица2[[#This Row],[Mai]]</f>
        <v>1893</v>
      </c>
      <c r="L28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424.5</v>
      </c>
    </row>
    <row r="29" spans="1:12" x14ac:dyDescent="0.25">
      <c r="A29" s="14">
        <v>26</v>
      </c>
      <c r="B29" s="14" t="s">
        <v>120</v>
      </c>
      <c r="C29" s="14" t="s">
        <v>81</v>
      </c>
      <c r="D29" s="16">
        <v>44337</v>
      </c>
      <c r="E29" s="14">
        <v>456</v>
      </c>
      <c r="F29" s="14">
        <v>565</v>
      </c>
      <c r="G29" s="14">
        <v>1321</v>
      </c>
      <c r="H29" s="14">
        <v>235</v>
      </c>
      <c r="I29" s="14">
        <v>12</v>
      </c>
      <c r="J29" s="14">
        <v>1321</v>
      </c>
      <c r="K29" s="14">
        <f>Таблица2[[#This Row],[Ianuarie]]+Таблица2[[#This Row],[Februarie]]+Таблица2[[#This Row],[Martie]]+Таблица2[[#This Row],[Aprilie]]+Таблица2[[#This Row],[Mai]]</f>
        <v>2589</v>
      </c>
      <c r="L29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651.66999999999996</v>
      </c>
    </row>
    <row r="30" spans="1:12" x14ac:dyDescent="0.25">
      <c r="A30" s="14">
        <v>27</v>
      </c>
      <c r="B30" s="14" t="s">
        <v>121</v>
      </c>
      <c r="C30" s="14" t="s">
        <v>75</v>
      </c>
      <c r="D30" s="16">
        <v>44341</v>
      </c>
      <c r="E30" s="14">
        <v>132</v>
      </c>
      <c r="F30" s="14">
        <v>697</v>
      </c>
      <c r="G30" s="14">
        <v>4654</v>
      </c>
      <c r="H30" s="14">
        <v>44</v>
      </c>
      <c r="I30" s="14">
        <v>845</v>
      </c>
      <c r="J30" s="14">
        <v>465</v>
      </c>
      <c r="K30" s="14">
        <f>Таблица2[[#This Row],[Ianuarie]]+Таблица2[[#This Row],[Februarie]]+Таблица2[[#This Row],[Martie]]+Таблица2[[#This Row],[Aprilie]]+Таблица2[[#This Row],[Mai]]</f>
        <v>6372</v>
      </c>
      <c r="L30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1139.5</v>
      </c>
    </row>
    <row r="31" spans="1:12" x14ac:dyDescent="0.25">
      <c r="A31" s="14">
        <v>28</v>
      </c>
      <c r="B31" s="14" t="s">
        <v>122</v>
      </c>
      <c r="C31" s="14" t="s">
        <v>79</v>
      </c>
      <c r="D31" s="16">
        <v>44341</v>
      </c>
      <c r="E31" s="14">
        <v>213</v>
      </c>
      <c r="F31" s="14">
        <v>454</v>
      </c>
      <c r="G31" s="14">
        <v>66</v>
      </c>
      <c r="H31" s="14">
        <v>889</v>
      </c>
      <c r="I31" s="14">
        <v>165</v>
      </c>
      <c r="J31" s="14">
        <v>5465</v>
      </c>
      <c r="K31" s="14">
        <f>Таблица2[[#This Row],[Ianuarie]]+Таблица2[[#This Row],[Februarie]]+Таблица2[[#This Row],[Martie]]+Таблица2[[#This Row],[Aprilie]]+Таблица2[[#This Row],[Mai]]</f>
        <v>1787</v>
      </c>
      <c r="L31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1208.67</v>
      </c>
    </row>
    <row r="32" spans="1:12" x14ac:dyDescent="0.25">
      <c r="A32" s="14">
        <v>29</v>
      </c>
      <c r="B32" s="14" t="s">
        <v>123</v>
      </c>
      <c r="C32" s="14" t="s">
        <v>81</v>
      </c>
      <c r="D32" s="16">
        <v>44270</v>
      </c>
      <c r="E32" s="14">
        <v>2131</v>
      </c>
      <c r="F32" s="14">
        <v>1321</v>
      </c>
      <c r="G32" s="14">
        <v>552</v>
      </c>
      <c r="H32" s="14">
        <v>4984</v>
      </c>
      <c r="I32" s="14">
        <v>55</v>
      </c>
      <c r="J32" s="14">
        <v>44</v>
      </c>
      <c r="K32" s="14">
        <f>Таблица2[[#This Row],[Ianuarie]]+Таблица2[[#This Row],[Februarie]]+Таблица2[[#This Row],[Martie]]+Таблица2[[#This Row],[Aprilie]]+Таблица2[[#This Row],[Mai]]</f>
        <v>9043</v>
      </c>
      <c r="L32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1514.5</v>
      </c>
    </row>
    <row r="33" spans="1:12" x14ac:dyDescent="0.25">
      <c r="A33" s="14">
        <v>30</v>
      </c>
      <c r="B33" s="14" t="s">
        <v>124</v>
      </c>
      <c r="C33" s="14" t="s">
        <v>75</v>
      </c>
      <c r="D33" s="16">
        <v>44301</v>
      </c>
      <c r="E33" s="14">
        <v>465</v>
      </c>
      <c r="F33" s="14">
        <v>89</v>
      </c>
      <c r="G33" s="14">
        <v>154</v>
      </c>
      <c r="H33" s="14">
        <v>455</v>
      </c>
      <c r="I33" s="14">
        <v>221</v>
      </c>
      <c r="J33" s="14">
        <v>5654</v>
      </c>
      <c r="K33" s="14">
        <f>Таблица2[[#This Row],[Ianuarie]]+Таблица2[[#This Row],[Februarie]]+Таблица2[[#This Row],[Martie]]+Таблица2[[#This Row],[Aprilie]]+Таблица2[[#This Row],[Mai]]</f>
        <v>1384</v>
      </c>
      <c r="L33" s="14">
        <f>ROUND(((Таблица2[[#This Row],[Ianuarie]]+Таблица2[[#This Row],[Februarie]]+Таблица2[[#This Row],[Martie]]+Таблица2[[#This Row],[Aprilie]]+Таблица2[[#This Row],[Mai]]+Таблица2[[#This Row],[Iunie]])/6),2)</f>
        <v>1173</v>
      </c>
    </row>
    <row r="34" spans="1:12" x14ac:dyDescent="0.25">
      <c r="A34" s="37" t="s">
        <v>65</v>
      </c>
      <c r="B34" s="14"/>
      <c r="C34" s="14"/>
      <c r="D34" s="16"/>
      <c r="E34" s="37">
        <f>SUM(E4:E33)</f>
        <v>19212</v>
      </c>
      <c r="F34" s="37">
        <f>SUM(F4:F33)</f>
        <v>30311</v>
      </c>
      <c r="G34" s="37">
        <f t="shared" ref="G34:H34" si="0">SUM(G4:G33)</f>
        <v>39019</v>
      </c>
      <c r="H34" s="37">
        <f t="shared" si="0"/>
        <v>31988</v>
      </c>
      <c r="I34" s="37">
        <f>SUM(I4:I33)</f>
        <v>12277</v>
      </c>
      <c r="J34" s="37">
        <f t="shared" ref="J34:K34" si="1">SUM(J4:J33)</f>
        <v>24138</v>
      </c>
      <c r="K34" s="37">
        <f t="shared" si="1"/>
        <v>132807</v>
      </c>
      <c r="L34" s="37">
        <f>ROUND(((Таблица2[[#This Row],[Ianuarie]]+Таблица2[[#This Row],[Februarie]]+Таблица2[[#This Row],[Martie]]+Таблица2[[#This Row],[Aprilie]]+Таблица2[[#This Row],[Mai]]+Таблица2[[#This Row],[Iunie]])/6),2)</f>
        <v>26157.5</v>
      </c>
    </row>
    <row r="35" spans="1:12" x14ac:dyDescent="0.25">
      <c r="A35" s="14"/>
      <c r="B35" s="14"/>
      <c r="C35" s="14"/>
      <c r="D35" s="16"/>
      <c r="E35" s="14"/>
      <c r="F35" s="14"/>
      <c r="G35" s="14"/>
      <c r="H35" s="14"/>
      <c r="I35" s="14"/>
      <c r="K35" s="14"/>
    </row>
    <row r="36" spans="1:12" x14ac:dyDescent="0.25">
      <c r="A36" s="14"/>
      <c r="B36" s="14"/>
      <c r="C36" s="14"/>
      <c r="D36" s="16"/>
      <c r="E36" s="14"/>
      <c r="F36" s="14"/>
      <c r="G36" s="14"/>
      <c r="H36" s="14"/>
      <c r="I36" s="14"/>
      <c r="K36" s="14"/>
    </row>
    <row r="37" spans="1:12" x14ac:dyDescent="0.25">
      <c r="A37" s="14"/>
      <c r="B37" s="14"/>
      <c r="C37" s="14"/>
      <c r="D37" s="16"/>
      <c r="E37" s="14"/>
      <c r="F37" s="14"/>
      <c r="G37" s="14"/>
      <c r="H37" s="14"/>
      <c r="I37" s="14"/>
      <c r="K37" s="14"/>
    </row>
    <row r="38" spans="1:12" x14ac:dyDescent="0.25">
      <c r="A38" s="14"/>
      <c r="B38" s="14"/>
      <c r="C38" s="14"/>
      <c r="D38" s="16"/>
      <c r="E38" s="14"/>
      <c r="F38" s="14"/>
      <c r="G38" s="14"/>
      <c r="H38" s="14"/>
      <c r="I38" s="14"/>
      <c r="K38" s="14"/>
    </row>
    <row r="39" spans="1:12" x14ac:dyDescent="0.25">
      <c r="A39" s="14"/>
      <c r="B39" s="14"/>
      <c r="C39" s="14"/>
      <c r="D39" s="16"/>
      <c r="E39" s="14"/>
      <c r="F39" s="14"/>
      <c r="G39" s="14"/>
      <c r="H39" s="14"/>
      <c r="I39" s="14"/>
      <c r="K39" s="14"/>
    </row>
    <row r="40" spans="1:12" x14ac:dyDescent="0.25">
      <c r="A40" s="14"/>
      <c r="B40" s="14"/>
      <c r="C40" s="14"/>
      <c r="D40" s="16"/>
      <c r="E40" s="14"/>
      <c r="F40" s="14"/>
      <c r="G40" s="14"/>
      <c r="H40" s="14"/>
      <c r="I40" s="14"/>
      <c r="K40" s="14"/>
    </row>
    <row r="41" spans="1:12" x14ac:dyDescent="0.25">
      <c r="A41" s="14"/>
      <c r="B41" s="14"/>
      <c r="C41" s="14"/>
      <c r="D41" s="16"/>
      <c r="E41" s="14"/>
      <c r="F41" s="14"/>
      <c r="G41" s="14"/>
      <c r="H41" s="14"/>
      <c r="I41" s="14"/>
      <c r="K41" s="14"/>
    </row>
    <row r="42" spans="1:12" x14ac:dyDescent="0.25">
      <c r="A42" s="14"/>
      <c r="B42" s="14"/>
      <c r="C42" s="14"/>
      <c r="D42" s="16"/>
      <c r="E42" s="14"/>
      <c r="F42" s="14"/>
      <c r="G42" s="14"/>
      <c r="H42" s="14"/>
      <c r="I42" s="14"/>
      <c r="K42" s="14"/>
    </row>
    <row r="43" spans="1:12" x14ac:dyDescent="0.25">
      <c r="A43" s="14"/>
      <c r="B43" s="14"/>
      <c r="C43" s="14"/>
      <c r="D43" s="16"/>
      <c r="E43" s="14"/>
      <c r="F43" s="14"/>
      <c r="G43" s="14"/>
      <c r="H43" s="14"/>
      <c r="I43" s="14"/>
      <c r="K43" s="14"/>
    </row>
    <row r="44" spans="1:12" x14ac:dyDescent="0.25">
      <c r="A44" s="14"/>
      <c r="B44" s="14"/>
      <c r="C44" s="14"/>
      <c r="D44" s="16"/>
      <c r="E44" s="14"/>
      <c r="F44" s="14"/>
      <c r="G44" s="14"/>
      <c r="H44" s="14"/>
      <c r="I44" s="14"/>
      <c r="K44" s="14"/>
    </row>
    <row r="45" spans="1:12" x14ac:dyDescent="0.25">
      <c r="A45" s="14"/>
      <c r="B45" s="14"/>
      <c r="C45" s="14"/>
      <c r="D45" s="16"/>
      <c r="E45" s="14"/>
      <c r="F45" s="14"/>
      <c r="G45" s="14"/>
      <c r="H45" s="14"/>
      <c r="I45" s="14"/>
      <c r="K45" s="14"/>
    </row>
  </sheetData>
  <conditionalFormatting sqref="E4:J22">
    <cfRule type="expression" dxfId="1" priority="3">
      <formula>E4=MIN($E4:$J4)</formula>
    </cfRule>
  </conditionalFormatting>
  <conditionalFormatting sqref="K1:K33 K35:K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{11BFFC82-1E01-44EC-A80F-741ACF116DCB}</x14:id>
        </ext>
      </extLst>
    </cfRule>
  </conditionalFormatting>
  <conditionalFormatting sqref="E23:J33">
    <cfRule type="expression" dxfId="0" priority="1">
      <formula>E23=MIN($E23:$J23)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BFFC82-1E01-44EC-A80F-741ACF116D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K1:K33 K35:K1048576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C4:L41"/>
  <sheetViews>
    <sheetView zoomScale="80" zoomScaleNormal="80" workbookViewId="0">
      <selection activeCell="L5" sqref="L5:L8"/>
    </sheetView>
  </sheetViews>
  <sheetFormatPr defaultRowHeight="15" x14ac:dyDescent="0.25"/>
  <cols>
    <col min="4" max="4" width="24.140625" customWidth="1"/>
    <col min="5" max="5" width="18.28515625" customWidth="1"/>
    <col min="6" max="6" width="14.28515625" customWidth="1"/>
    <col min="7" max="7" width="24" customWidth="1"/>
    <col min="8" max="8" width="11" customWidth="1"/>
    <col min="9" max="9" width="18.42578125" customWidth="1"/>
    <col min="10" max="10" width="12.85546875" customWidth="1"/>
    <col min="11" max="11" width="13.42578125" customWidth="1"/>
    <col min="12" max="12" width="11.28515625" bestFit="1" customWidth="1"/>
  </cols>
  <sheetData>
    <row r="4" spans="3:12" ht="27.75" customHeight="1" x14ac:dyDescent="0.25">
      <c r="D4" s="14" t="s">
        <v>4</v>
      </c>
      <c r="E4" s="14" t="s">
        <v>115</v>
      </c>
      <c r="F4" s="14" t="s">
        <v>64</v>
      </c>
      <c r="G4" s="14" t="s">
        <v>104</v>
      </c>
      <c r="H4" s="35" t="s">
        <v>105</v>
      </c>
      <c r="I4" s="35" t="s">
        <v>106</v>
      </c>
      <c r="J4" s="14" t="s">
        <v>25</v>
      </c>
      <c r="K4" s="14" t="s">
        <v>107</v>
      </c>
      <c r="L4" s="38" t="s">
        <v>116</v>
      </c>
    </row>
    <row r="5" spans="3:12" x14ac:dyDescent="0.25">
      <c r="C5" s="36" t="s">
        <v>110</v>
      </c>
      <c r="D5" s="14" t="s">
        <v>70</v>
      </c>
      <c r="E5" s="14">
        <v>465</v>
      </c>
      <c r="F5" s="16"/>
      <c r="G5" s="14">
        <v>89</v>
      </c>
      <c r="H5" s="14">
        <f>Таблица11[[#This Row],[Cantitate venite]]*20</f>
        <v>9300</v>
      </c>
      <c r="I5" s="14">
        <v>211</v>
      </c>
      <c r="J5" s="14">
        <f>Таблица11[[#This Row],[Cantitate kg]]-Таблица11[[#This Row],[Vandute kg]]</f>
        <v>9089</v>
      </c>
      <c r="K5" s="14">
        <f>Таблица11[[#This Row],[Pret unitar/RON]]*Таблица11[[#This Row],[Vandute kg]]</f>
        <v>18779</v>
      </c>
      <c r="L5" s="39">
        <f>SUM(I5:I8)</f>
        <v>1785</v>
      </c>
    </row>
    <row r="6" spans="3:12" x14ac:dyDescent="0.25">
      <c r="C6" s="36"/>
      <c r="D6" s="14" t="s">
        <v>109</v>
      </c>
      <c r="E6" s="14">
        <v>13</v>
      </c>
      <c r="F6" s="16"/>
      <c r="G6" s="14">
        <v>2</v>
      </c>
      <c r="H6" s="14">
        <f>Таблица11[[#This Row],[Cantitate venite]]*20</f>
        <v>260</v>
      </c>
      <c r="I6" s="14">
        <v>240</v>
      </c>
      <c r="J6" s="14">
        <f>Таблица11[[#This Row],[Cantitate kg]]-Таблица11[[#This Row],[Vandute kg]]</f>
        <v>20</v>
      </c>
      <c r="K6" s="14">
        <f>Таблица11[[#This Row],[Pret unitar/RON]]*Таблица11[[#This Row],[Vandute kg]]</f>
        <v>480</v>
      </c>
      <c r="L6" s="39"/>
    </row>
    <row r="7" spans="3:12" x14ac:dyDescent="0.25">
      <c r="C7" s="36"/>
      <c r="D7" s="14" t="s">
        <v>69</v>
      </c>
      <c r="E7" s="14">
        <v>316</v>
      </c>
      <c r="F7" s="16"/>
      <c r="G7" s="14">
        <v>150</v>
      </c>
      <c r="H7" s="14">
        <f>Таблица11[[#This Row],[Cantitate venite]]*20</f>
        <v>6320</v>
      </c>
      <c r="I7" s="14">
        <v>13</v>
      </c>
      <c r="J7" s="14">
        <f>Таблица11[[#This Row],[Cantitate kg]]-Таблица11[[#This Row],[Vandute kg]]</f>
        <v>6307</v>
      </c>
      <c r="K7" s="14">
        <f>Таблица11[[#This Row],[Pret unitar/RON]]*Таблица11[[#This Row],[Vandute kg]]</f>
        <v>1950</v>
      </c>
      <c r="L7" s="39"/>
    </row>
    <row r="8" spans="3:12" x14ac:dyDescent="0.25">
      <c r="C8" s="36"/>
      <c r="D8" s="14" t="s">
        <v>68</v>
      </c>
      <c r="E8" s="14">
        <v>791</v>
      </c>
      <c r="F8" s="16"/>
      <c r="G8" s="14">
        <v>150</v>
      </c>
      <c r="H8" s="14">
        <f>Таблица11[[#This Row],[Cantitate venite]]*20</f>
        <v>15820</v>
      </c>
      <c r="I8" s="14">
        <v>1321</v>
      </c>
      <c r="J8" s="14">
        <f>Таблица11[[#This Row],[Cantitate kg]]-Таблица11[[#This Row],[Vandute kg]]</f>
        <v>14499</v>
      </c>
      <c r="K8" s="14">
        <f>Таблица11[[#This Row],[Pret unitar/RON]]*Таблица11[[#This Row],[Vandute kg]]</f>
        <v>198150</v>
      </c>
      <c r="L8" s="39"/>
    </row>
    <row r="9" spans="3:12" x14ac:dyDescent="0.25">
      <c r="C9" s="36" t="s">
        <v>111</v>
      </c>
      <c r="D9" s="14" t="s">
        <v>95</v>
      </c>
      <c r="E9" s="14">
        <v>598</v>
      </c>
      <c r="F9" s="16"/>
      <c r="G9" s="14">
        <v>96</v>
      </c>
      <c r="H9" s="14">
        <f>Таблица11[[#This Row],[Cantitate venite]]*20</f>
        <v>11960</v>
      </c>
      <c r="I9" s="14">
        <v>7895</v>
      </c>
      <c r="J9" s="14">
        <f>Таблица11[[#This Row],[Cantitate kg]]-Таблица11[[#This Row],[Vandute kg]]</f>
        <v>4065</v>
      </c>
      <c r="K9" s="14">
        <f>Таблица11[[#This Row],[Pret unitar/RON]]*Таблица11[[#This Row],[Vandute kg]]</f>
        <v>757920</v>
      </c>
      <c r="L9" s="39">
        <f>SUM(I9:I15)</f>
        <v>20563</v>
      </c>
    </row>
    <row r="10" spans="3:12" x14ac:dyDescent="0.25">
      <c r="C10" s="36"/>
      <c r="D10" s="14" t="s">
        <v>99</v>
      </c>
      <c r="E10" s="14">
        <v>56</v>
      </c>
      <c r="F10" s="16"/>
      <c r="G10" s="14">
        <v>250</v>
      </c>
      <c r="H10" s="14">
        <f>Таблица11[[#This Row],[Cantitate venite]]*20</f>
        <v>1120</v>
      </c>
      <c r="I10" s="14">
        <v>465</v>
      </c>
      <c r="J10" s="14">
        <f>Таблица11[[#This Row],[Cantitate kg]]-Таблица11[[#This Row],[Vandute kg]]</f>
        <v>655</v>
      </c>
      <c r="K10" s="14">
        <f>Таблица11[[#This Row],[Pret unitar/RON]]*Таблица11[[#This Row],[Vandute kg]]</f>
        <v>116250</v>
      </c>
      <c r="L10" s="39"/>
    </row>
    <row r="11" spans="3:12" x14ac:dyDescent="0.25">
      <c r="C11" s="36"/>
      <c r="D11" s="14" t="s">
        <v>73</v>
      </c>
      <c r="E11" s="14">
        <v>132</v>
      </c>
      <c r="F11" s="16"/>
      <c r="G11" s="14">
        <v>120</v>
      </c>
      <c r="H11" s="14">
        <f>Таблица11[[#This Row],[Cantitate venite]]*20</f>
        <v>2640</v>
      </c>
      <c r="I11" s="14">
        <v>132</v>
      </c>
      <c r="J11" s="14">
        <f>Таблица11[[#This Row],[Cantitate kg]]-Таблица11[[#This Row],[Vandute kg]]</f>
        <v>2508</v>
      </c>
      <c r="K11" s="14">
        <f>Таблица11[[#This Row],[Pret unitar/RON]]*Таблица11[[#This Row],[Vandute kg]]</f>
        <v>15840</v>
      </c>
      <c r="L11" s="39"/>
    </row>
    <row r="12" spans="3:12" x14ac:dyDescent="0.25">
      <c r="C12" s="36"/>
      <c r="D12" s="14" t="s">
        <v>69</v>
      </c>
      <c r="E12" s="14">
        <v>446</v>
      </c>
      <c r="F12" s="16"/>
      <c r="G12" s="14">
        <v>145</v>
      </c>
      <c r="H12" s="14">
        <f>Таблица11[[#This Row],[Cantitate venite]]*20</f>
        <v>8920</v>
      </c>
      <c r="I12" s="14">
        <v>1321</v>
      </c>
      <c r="J12" s="14">
        <f>Таблица11[[#This Row],[Cantitate kg]]-Таблица11[[#This Row],[Vandute kg]]</f>
        <v>7599</v>
      </c>
      <c r="K12" s="14">
        <f>Таблица11[[#This Row],[Pret unitar/RON]]*Таблица11[[#This Row],[Vandute kg]]</f>
        <v>191545</v>
      </c>
      <c r="L12" s="39"/>
    </row>
    <row r="13" spans="3:12" x14ac:dyDescent="0.25">
      <c r="C13" s="36"/>
      <c r="D13" s="14" t="s">
        <v>68</v>
      </c>
      <c r="E13" s="14">
        <v>596</v>
      </c>
      <c r="F13" s="16"/>
      <c r="G13" s="14">
        <v>55</v>
      </c>
      <c r="H13" s="14">
        <f>Таблица11[[#This Row],[Cantitate venite]]*20</f>
        <v>11920</v>
      </c>
      <c r="I13" s="14">
        <v>5465</v>
      </c>
      <c r="J13" s="14">
        <f>Таблица11[[#This Row],[Cantitate kg]]-Таблица11[[#This Row],[Vandute kg]]</f>
        <v>6455</v>
      </c>
      <c r="K13" s="14">
        <f>Таблица11[[#This Row],[Pret unitar/RON]]*Таблица11[[#This Row],[Vandute kg]]</f>
        <v>300575</v>
      </c>
      <c r="L13" s="39"/>
    </row>
    <row r="14" spans="3:12" x14ac:dyDescent="0.25">
      <c r="C14" s="36"/>
      <c r="D14" s="14" t="s">
        <v>9</v>
      </c>
      <c r="E14" s="14">
        <v>1651</v>
      </c>
      <c r="F14" s="16"/>
      <c r="G14" s="14">
        <v>150</v>
      </c>
      <c r="H14" s="14">
        <f>Таблица11[[#This Row],[Cantitate venite]]*20</f>
        <v>33020</v>
      </c>
      <c r="I14" s="14">
        <v>4645</v>
      </c>
      <c r="J14" s="14">
        <f>Таблица11[[#This Row],[Cantitate kg]]-Таблица11[[#This Row],[Vandute kg]]</f>
        <v>28375</v>
      </c>
      <c r="K14" s="14">
        <f>Таблица11[[#This Row],[Pret unitar/RON]]*Таблица11[[#This Row],[Vandute kg]]</f>
        <v>696750</v>
      </c>
      <c r="L14" s="39"/>
    </row>
    <row r="15" spans="3:12" x14ac:dyDescent="0.25">
      <c r="C15" s="36"/>
      <c r="D15" s="14" t="s">
        <v>70</v>
      </c>
      <c r="E15" s="14">
        <v>32</v>
      </c>
      <c r="F15" s="16"/>
      <c r="G15" s="14">
        <v>45</v>
      </c>
      <c r="H15" s="14">
        <f>Таблица11[[#This Row],[Cantitate venite]]*20</f>
        <v>640</v>
      </c>
      <c r="I15" s="14">
        <v>640</v>
      </c>
      <c r="J15" s="14">
        <f>Таблица11[[#This Row],[Cantitate kg]]-Таблица11[[#This Row],[Vandute kg]]</f>
        <v>0</v>
      </c>
      <c r="K15" s="14">
        <f>Таблица11[[#This Row],[Pret unitar/RON]]*Таблица11[[#This Row],[Vandute kg]]</f>
        <v>28800</v>
      </c>
      <c r="L15" s="39"/>
    </row>
    <row r="16" spans="3:12" x14ac:dyDescent="0.25">
      <c r="C16" s="36" t="s">
        <v>112</v>
      </c>
      <c r="D16" s="14" t="s">
        <v>9</v>
      </c>
      <c r="E16" s="14">
        <v>6898</v>
      </c>
      <c r="F16" s="16"/>
      <c r="G16" s="14">
        <v>78</v>
      </c>
      <c r="H16" s="14">
        <f>Таблица11[[#This Row],[Cantitate venite]]*20</f>
        <v>137960</v>
      </c>
      <c r="I16" s="14">
        <v>5452</v>
      </c>
      <c r="J16" s="14">
        <f>Таблица11[[#This Row],[Cantitate kg]]-Таблица11[[#This Row],[Vandute kg]]</f>
        <v>132508</v>
      </c>
      <c r="K16" s="14">
        <f>Таблица11[[#This Row],[Pret unitar/RON]]*Таблица11[[#This Row],[Vandute kg]]</f>
        <v>425256</v>
      </c>
      <c r="L16" s="39">
        <f>SUM(I16:I21)</f>
        <v>17873</v>
      </c>
    </row>
    <row r="17" spans="3:12" x14ac:dyDescent="0.25">
      <c r="C17" s="36"/>
      <c r="D17" s="14" t="s">
        <v>92</v>
      </c>
      <c r="E17" s="14">
        <v>639</v>
      </c>
      <c r="F17" s="16"/>
      <c r="G17" s="14">
        <v>45</v>
      </c>
      <c r="H17" s="14">
        <f>Таблица11[[#This Row],[Cantitate venite]]*20</f>
        <v>12780</v>
      </c>
      <c r="I17" s="14">
        <v>2121</v>
      </c>
      <c r="J17" s="14">
        <f>Таблица11[[#This Row],[Cantitate kg]]-Таблица11[[#This Row],[Vandute kg]]</f>
        <v>10659</v>
      </c>
      <c r="K17" s="14">
        <f>Таблица11[[#This Row],[Pret unitar/RON]]*Таблица11[[#This Row],[Vandute kg]]</f>
        <v>95445</v>
      </c>
      <c r="L17" s="39"/>
    </row>
    <row r="18" spans="3:12" x14ac:dyDescent="0.25">
      <c r="C18" s="36"/>
      <c r="D18" s="14" t="s">
        <v>68</v>
      </c>
      <c r="E18" s="14">
        <v>1133</v>
      </c>
      <c r="F18" s="16"/>
      <c r="G18" s="14">
        <v>155</v>
      </c>
      <c r="H18" s="14">
        <f>Таблица11[[#This Row],[Cantitate venite]]*20</f>
        <v>22660</v>
      </c>
      <c r="I18" s="14">
        <v>9852</v>
      </c>
      <c r="J18" s="14">
        <f>Таблица11[[#This Row],[Cantitate kg]]-Таблица11[[#This Row],[Vandute kg]]</f>
        <v>12808</v>
      </c>
      <c r="K18" s="14">
        <f>Таблица11[[#This Row],[Pret unitar/RON]]*Таблица11[[#This Row],[Vandute kg]]</f>
        <v>1527060</v>
      </c>
      <c r="L18" s="39"/>
    </row>
    <row r="19" spans="3:12" x14ac:dyDescent="0.25">
      <c r="C19" s="36"/>
      <c r="D19" s="14" t="s">
        <v>91</v>
      </c>
      <c r="E19" s="14">
        <v>449</v>
      </c>
      <c r="F19" s="16"/>
      <c r="G19" s="14">
        <v>2</v>
      </c>
      <c r="H19" s="14">
        <f>Таблица11[[#This Row],[Cantitate venite]]*20</f>
        <v>8980</v>
      </c>
      <c r="I19" s="14">
        <v>231</v>
      </c>
      <c r="J19" s="14">
        <f>Таблица11[[#This Row],[Cantitate kg]]-Таблица11[[#This Row],[Vandute kg]]</f>
        <v>8749</v>
      </c>
      <c r="K19" s="14">
        <f>Таблица11[[#This Row],[Pret unitar/RON]]*Таблица11[[#This Row],[Vandute kg]]</f>
        <v>462</v>
      </c>
      <c r="L19" s="39"/>
    </row>
    <row r="20" spans="3:12" x14ac:dyDescent="0.25">
      <c r="C20" s="36"/>
      <c r="D20" s="14" t="s">
        <v>93</v>
      </c>
      <c r="E20" s="14">
        <v>465</v>
      </c>
      <c r="F20" s="16"/>
      <c r="G20" s="14">
        <v>1</v>
      </c>
      <c r="H20" s="14">
        <f>Таблица11[[#This Row],[Cantitate venite]]*20</f>
        <v>9300</v>
      </c>
      <c r="I20" s="14">
        <v>213</v>
      </c>
      <c r="J20" s="14">
        <f>Таблица11[[#This Row],[Cantitate kg]]-Таблица11[[#This Row],[Vandute kg]]</f>
        <v>9087</v>
      </c>
      <c r="K20" s="14">
        <f>Таблица11[[#This Row],[Pret unitar/RON]]*Таблица11[[#This Row],[Vandute kg]]</f>
        <v>213</v>
      </c>
      <c r="L20" s="39"/>
    </row>
    <row r="21" spans="3:12" x14ac:dyDescent="0.25">
      <c r="C21" s="36"/>
      <c r="D21" s="14" t="s">
        <v>101</v>
      </c>
      <c r="E21" s="14">
        <v>546</v>
      </c>
      <c r="F21" s="16"/>
      <c r="G21" s="14">
        <v>200</v>
      </c>
      <c r="H21" s="14">
        <f>Таблица11[[#This Row],[Cantitate venite]]*20</f>
        <v>10920</v>
      </c>
      <c r="I21" s="14">
        <v>4</v>
      </c>
      <c r="J21" s="14">
        <f>Таблица11[[#This Row],[Cantitate kg]]-Таблица11[[#This Row],[Vandute kg]]</f>
        <v>10916</v>
      </c>
      <c r="K21" s="14">
        <f>Таблица11[[#This Row],[Pret unitar/RON]]*Таблица11[[#This Row],[Vandute kg]]</f>
        <v>800</v>
      </c>
      <c r="L21" s="39"/>
    </row>
    <row r="22" spans="3:12" x14ac:dyDescent="0.25">
      <c r="C22" s="36" t="s">
        <v>113</v>
      </c>
      <c r="D22" s="14" t="s">
        <v>69</v>
      </c>
      <c r="E22" s="14">
        <v>494</v>
      </c>
      <c r="F22" s="16"/>
      <c r="G22" s="14">
        <v>250</v>
      </c>
      <c r="H22" s="14">
        <f>Таблица11[[#This Row],[Cantitate venite]]*20</f>
        <v>9880</v>
      </c>
      <c r="I22" s="14">
        <v>2132</v>
      </c>
      <c r="J22" s="14">
        <f>Таблица11[[#This Row],[Cantitate kg]]-Таблица11[[#This Row],[Vandute kg]]</f>
        <v>7748</v>
      </c>
      <c r="K22" s="14">
        <f>Таблица11[[#This Row],[Pret unitar/RON]]*Таблица11[[#This Row],[Vandute kg]]</f>
        <v>533000</v>
      </c>
      <c r="L22" s="39">
        <f>SUM(I22:I28)</f>
        <v>6127</v>
      </c>
    </row>
    <row r="23" spans="3:12" x14ac:dyDescent="0.25">
      <c r="C23" s="36"/>
      <c r="D23" s="14" t="s">
        <v>67</v>
      </c>
      <c r="E23" s="14">
        <v>998</v>
      </c>
      <c r="F23" s="16"/>
      <c r="G23" s="14">
        <v>3</v>
      </c>
      <c r="H23" s="14">
        <f>Таблица11[[#This Row],[Cantitate venite]]*20</f>
        <v>19960</v>
      </c>
      <c r="I23" s="14">
        <v>121</v>
      </c>
      <c r="J23" s="14">
        <f>Таблица11[[#This Row],[Cantitate kg]]-Таблица11[[#This Row],[Vandute kg]]</f>
        <v>19839</v>
      </c>
      <c r="K23" s="14">
        <f>Таблица11[[#This Row],[Pret unitar/RON]]*Таблица11[[#This Row],[Vandute kg]]</f>
        <v>363</v>
      </c>
      <c r="L23" s="39"/>
    </row>
    <row r="24" spans="3:12" x14ac:dyDescent="0.25">
      <c r="C24" s="36"/>
      <c r="D24" s="14" t="s">
        <v>100</v>
      </c>
      <c r="E24" s="14">
        <v>987</v>
      </c>
      <c r="F24" s="16"/>
      <c r="G24" s="14">
        <v>400</v>
      </c>
      <c r="H24" s="14">
        <f>Таблица11[[#This Row],[Cantitate venite]]*20</f>
        <v>19740</v>
      </c>
      <c r="I24" s="14">
        <v>2313</v>
      </c>
      <c r="J24" s="14">
        <f>Таблица11[[#This Row],[Cantitate kg]]-Таблица11[[#This Row],[Vandute kg]]</f>
        <v>17427</v>
      </c>
      <c r="K24" s="14">
        <f>Таблица11[[#This Row],[Pret unitar/RON]]*Таблица11[[#This Row],[Vandute kg]]</f>
        <v>925200</v>
      </c>
      <c r="L24" s="39"/>
    </row>
    <row r="25" spans="3:12" x14ac:dyDescent="0.25">
      <c r="C25" s="36"/>
      <c r="D25" s="14" t="s">
        <v>74</v>
      </c>
      <c r="E25" s="14">
        <v>5646</v>
      </c>
      <c r="F25" s="16"/>
      <c r="G25" s="14">
        <v>0.5</v>
      </c>
      <c r="H25" s="14">
        <f>Таблица11[[#This Row],[Cantitate venite]]*20</f>
        <v>112920</v>
      </c>
      <c r="I25" s="14">
        <v>213</v>
      </c>
      <c r="J25" s="14">
        <f>Таблица11[[#This Row],[Cantitate kg]]-Таблица11[[#This Row],[Vandute kg]]</f>
        <v>112707</v>
      </c>
      <c r="K25" s="14">
        <f>Таблица11[[#This Row],[Pret unitar/RON]]*Таблица11[[#This Row],[Vandute kg]]</f>
        <v>106.5</v>
      </c>
      <c r="L25" s="39"/>
    </row>
    <row r="26" spans="3:12" x14ac:dyDescent="0.25">
      <c r="C26" s="36"/>
      <c r="D26" s="14" t="s">
        <v>96</v>
      </c>
      <c r="E26" s="14">
        <v>131</v>
      </c>
      <c r="F26" s="16"/>
      <c r="G26" s="14">
        <v>12</v>
      </c>
      <c r="H26" s="14">
        <f>Таблица11[[#This Row],[Cantitate venite]]*20</f>
        <v>2620</v>
      </c>
      <c r="I26" s="14">
        <v>6</v>
      </c>
      <c r="J26" s="14">
        <f>Таблица11[[#This Row],[Cantitate kg]]-Таблица11[[#This Row],[Vandute kg]]</f>
        <v>2614</v>
      </c>
      <c r="K26" s="14">
        <f>Таблица11[[#This Row],[Pret unitar/RON]]*Таблица11[[#This Row],[Vandute kg]]</f>
        <v>72</v>
      </c>
      <c r="L26" s="39"/>
    </row>
    <row r="27" spans="3:12" x14ac:dyDescent="0.25">
      <c r="C27" s="36"/>
      <c r="D27" s="14" t="s">
        <v>97</v>
      </c>
      <c r="E27" s="14">
        <v>466</v>
      </c>
      <c r="F27" s="16"/>
      <c r="G27" s="14">
        <v>2</v>
      </c>
      <c r="H27" s="14">
        <f>Таблица11[[#This Row],[Cantitate venite]]*20</f>
        <v>9320</v>
      </c>
      <c r="I27" s="14">
        <v>698</v>
      </c>
      <c r="J27" s="14">
        <f>Таблица11[[#This Row],[Cantitate kg]]-Таблица11[[#This Row],[Vandute kg]]</f>
        <v>8622</v>
      </c>
      <c r="K27" s="14">
        <f>Таблица11[[#This Row],[Pret unitar/RON]]*Таблица11[[#This Row],[Vandute kg]]</f>
        <v>1396</v>
      </c>
      <c r="L27" s="39"/>
    </row>
    <row r="28" spans="3:12" x14ac:dyDescent="0.25">
      <c r="C28" s="36"/>
      <c r="D28" s="14" t="s">
        <v>72</v>
      </c>
      <c r="E28" s="14">
        <v>987</v>
      </c>
      <c r="F28" s="16"/>
      <c r="G28" s="14">
        <v>2.5</v>
      </c>
      <c r="H28" s="14">
        <f>Таблица11[[#This Row],[Cantitate venite]]*20</f>
        <v>19740</v>
      </c>
      <c r="I28" s="14">
        <v>644</v>
      </c>
      <c r="J28" s="14">
        <f>Таблица11[[#This Row],[Cantitate kg]]-Таблица11[[#This Row],[Vandute kg]]</f>
        <v>19096</v>
      </c>
      <c r="K28" s="14">
        <f>Таблица11[[#This Row],[Pret unitar/RON]]*Таблица11[[#This Row],[Vandute kg]]</f>
        <v>1610</v>
      </c>
      <c r="L28" s="39"/>
    </row>
    <row r="29" spans="3:12" x14ac:dyDescent="0.25">
      <c r="C29" s="36" t="s">
        <v>62</v>
      </c>
      <c r="D29" s="14" t="s">
        <v>73</v>
      </c>
      <c r="E29" s="14">
        <v>984</v>
      </c>
      <c r="F29" s="16"/>
      <c r="G29" s="14">
        <v>10</v>
      </c>
      <c r="H29" s="14">
        <f>Таблица11[[#This Row],[Cantitate venite]]*20</f>
        <v>19680</v>
      </c>
      <c r="I29" s="14">
        <v>6546</v>
      </c>
      <c r="J29" s="14">
        <f>Таблица11[[#This Row],[Cantitate kg]]-Таблица11[[#This Row],[Vandute kg]]</f>
        <v>13134</v>
      </c>
      <c r="K29" s="14">
        <f>Таблица11[[#This Row],[Pret unitar/RON]]*Таблица11[[#This Row],[Vandute kg]]</f>
        <v>65460</v>
      </c>
      <c r="L29" s="39">
        <f>SUM(I29:I32)</f>
        <v>12564</v>
      </c>
    </row>
    <row r="30" spans="3:12" x14ac:dyDescent="0.25">
      <c r="C30" s="36"/>
      <c r="D30" s="14" t="s">
        <v>102</v>
      </c>
      <c r="E30" s="14">
        <v>9879</v>
      </c>
      <c r="F30" s="16"/>
      <c r="G30" s="14">
        <v>80</v>
      </c>
      <c r="H30" s="14">
        <f>Таблица11[[#This Row],[Cantitate venite]]*20</f>
        <v>197580</v>
      </c>
      <c r="I30" s="14">
        <v>465</v>
      </c>
      <c r="J30" s="14">
        <f>Таблица11[[#This Row],[Cantitate kg]]-Таблица11[[#This Row],[Vandute kg]]</f>
        <v>197115</v>
      </c>
      <c r="K30" s="14">
        <f>Таблица11[[#This Row],[Pret unitar/RON]]*Таблица11[[#This Row],[Vandute kg]]</f>
        <v>37200</v>
      </c>
      <c r="L30" s="39"/>
    </row>
    <row r="31" spans="3:12" x14ac:dyDescent="0.25">
      <c r="C31" s="36"/>
      <c r="D31" s="14" t="s">
        <v>73</v>
      </c>
      <c r="E31" s="14">
        <v>899</v>
      </c>
      <c r="F31" s="16"/>
      <c r="G31" s="14">
        <v>2</v>
      </c>
      <c r="H31" s="14">
        <f>Таблица11[[#This Row],[Cantitate venite]]*20</f>
        <v>17980</v>
      </c>
      <c r="I31" s="14">
        <v>4656</v>
      </c>
      <c r="J31" s="14">
        <f>Таблица11[[#This Row],[Cantitate kg]]-Таблица11[[#This Row],[Vandute kg]]</f>
        <v>13324</v>
      </c>
      <c r="K31" s="14">
        <f>Таблица11[[#This Row],[Pret unitar/RON]]*Таблица11[[#This Row],[Vandute kg]]</f>
        <v>9312</v>
      </c>
      <c r="L31" s="39"/>
    </row>
    <row r="32" spans="3:12" x14ac:dyDescent="0.25">
      <c r="C32" s="36"/>
      <c r="D32" s="14" t="s">
        <v>92</v>
      </c>
      <c r="E32" s="14">
        <v>654</v>
      </c>
      <c r="F32" s="16"/>
      <c r="G32" s="14">
        <v>3</v>
      </c>
      <c r="H32" s="14">
        <f>Таблица11[[#This Row],[Cantitate venite]]*20</f>
        <v>13080</v>
      </c>
      <c r="I32" s="14">
        <v>897</v>
      </c>
      <c r="J32" s="14">
        <f>Таблица11[[#This Row],[Cantitate kg]]-Таблица11[[#This Row],[Vandute kg]]</f>
        <v>12183</v>
      </c>
      <c r="K32" s="14">
        <f>Таблица11[[#This Row],[Pret unitar/RON]]*Таблица11[[#This Row],[Vandute kg]]</f>
        <v>2691</v>
      </c>
      <c r="L32" s="39"/>
    </row>
    <row r="33" spans="3:12" x14ac:dyDescent="0.25">
      <c r="C33" s="36" t="s">
        <v>114</v>
      </c>
      <c r="D33" s="14" t="s">
        <v>70</v>
      </c>
      <c r="E33" s="14">
        <v>654</v>
      </c>
      <c r="F33" s="16"/>
      <c r="G33" s="14">
        <v>45</v>
      </c>
      <c r="H33" s="14">
        <f>Таблица11[[#This Row],[Cantitate venite]]*20</f>
        <v>13080</v>
      </c>
      <c r="I33" s="14">
        <v>9875</v>
      </c>
      <c r="J33" s="14">
        <f>Таблица11[[#This Row],[Cantitate kg]]-Таблица11[[#This Row],[Vandute kg]]</f>
        <v>3205</v>
      </c>
      <c r="K33" s="14">
        <f>Таблица11[[#This Row],[Pret unitar/RON]]*Таблица11[[#This Row],[Vandute kg]]</f>
        <v>444375</v>
      </c>
      <c r="L33" s="39">
        <f>SUM(I33:I40)</f>
        <v>179658</v>
      </c>
    </row>
    <row r="34" spans="3:12" x14ac:dyDescent="0.25">
      <c r="C34" s="36"/>
      <c r="D34" s="14" t="s">
        <v>97</v>
      </c>
      <c r="E34" s="14">
        <v>5646</v>
      </c>
      <c r="F34" s="16"/>
      <c r="G34" s="14">
        <v>2</v>
      </c>
      <c r="H34" s="14">
        <f>Таблица11[[#This Row],[Cantitate venite]]*20</f>
        <v>112920</v>
      </c>
      <c r="I34" s="14">
        <v>112910</v>
      </c>
      <c r="J34" s="14">
        <f>Таблица11[[#This Row],[Cantitate kg]]-Таблица11[[#This Row],[Vandute kg]]</f>
        <v>10</v>
      </c>
      <c r="K34" s="14">
        <f>Таблица11[[#This Row],[Pret unitar/RON]]*Таблица11[[#This Row],[Vandute kg]]</f>
        <v>225820</v>
      </c>
      <c r="L34" s="39"/>
    </row>
    <row r="35" spans="3:12" x14ac:dyDescent="0.25">
      <c r="C35" s="36"/>
      <c r="D35" s="14" t="s">
        <v>68</v>
      </c>
      <c r="E35" s="14">
        <v>646</v>
      </c>
      <c r="F35" s="16"/>
      <c r="G35" s="14">
        <v>150</v>
      </c>
      <c r="H35" s="14">
        <f>Таблица11[[#This Row],[Cantitate venite]]*20</f>
        <v>12920</v>
      </c>
      <c r="I35" s="14">
        <v>4654</v>
      </c>
      <c r="J35" s="14">
        <f>Таблица11[[#This Row],[Cantitate kg]]-Таблица11[[#This Row],[Vandute kg]]</f>
        <v>8266</v>
      </c>
      <c r="K35" s="14">
        <f>Таблица11[[#This Row],[Pret unitar/RON]]*Таблица11[[#This Row],[Vandute kg]]</f>
        <v>698100</v>
      </c>
      <c r="L35" s="39"/>
    </row>
    <row r="36" spans="3:12" x14ac:dyDescent="0.25">
      <c r="C36" s="36"/>
      <c r="D36" s="14" t="s">
        <v>91</v>
      </c>
      <c r="E36" s="14">
        <v>654</v>
      </c>
      <c r="F36" s="16"/>
      <c r="G36" s="14">
        <v>3</v>
      </c>
      <c r="H36" s="14">
        <f>Таблица11[[#This Row],[Cantitate venite]]*20</f>
        <v>13080</v>
      </c>
      <c r="I36" s="14">
        <v>465</v>
      </c>
      <c r="J36" s="14">
        <f>Таблица11[[#This Row],[Cantitate kg]]-Таблица11[[#This Row],[Vandute kg]]</f>
        <v>12615</v>
      </c>
      <c r="K36" s="14">
        <f>Таблица11[[#This Row],[Pret unitar/RON]]*Таблица11[[#This Row],[Vandute kg]]</f>
        <v>1395</v>
      </c>
      <c r="L36" s="39"/>
    </row>
    <row r="37" spans="3:12" x14ac:dyDescent="0.25">
      <c r="C37" s="36"/>
      <c r="D37" s="14" t="s">
        <v>102</v>
      </c>
      <c r="E37" s="14">
        <v>979</v>
      </c>
      <c r="F37" s="16"/>
      <c r="G37" s="14">
        <v>123</v>
      </c>
      <c r="H37" s="14">
        <f>Таблица11[[#This Row],[Cantitate venite]]*20</f>
        <v>19580</v>
      </c>
      <c r="I37" s="14">
        <v>19575</v>
      </c>
      <c r="J37" s="14">
        <f>Таблица11[[#This Row],[Cantitate kg]]-Таблица11[[#This Row],[Vandute kg]]</f>
        <v>5</v>
      </c>
      <c r="K37" s="14">
        <f>Таблица11[[#This Row],[Pret unitar/RON]]*Таблица11[[#This Row],[Vandute kg]]</f>
        <v>2407725</v>
      </c>
      <c r="L37" s="39"/>
    </row>
    <row r="38" spans="3:12" x14ac:dyDescent="0.25">
      <c r="C38" s="36"/>
      <c r="D38" s="14" t="s">
        <v>94</v>
      </c>
      <c r="E38" s="14">
        <v>499</v>
      </c>
      <c r="F38" s="16"/>
      <c r="G38" s="14">
        <v>250</v>
      </c>
      <c r="H38" s="14">
        <f>Таблица11[[#This Row],[Cantitate venite]]*20</f>
        <v>9980</v>
      </c>
      <c r="I38" s="14">
        <v>9970</v>
      </c>
      <c r="J38" s="14">
        <f>Таблица11[[#This Row],[Cantitate kg]]-Таблица11[[#This Row],[Vandute kg]]</f>
        <v>10</v>
      </c>
      <c r="K38" s="14">
        <f>Таблица11[[#This Row],[Pret unitar/RON]]*Таблица11[[#This Row],[Vandute kg]]</f>
        <v>2492500</v>
      </c>
      <c r="L38" s="39"/>
    </row>
    <row r="39" spans="3:12" x14ac:dyDescent="0.25">
      <c r="C39" s="36"/>
      <c r="D39" s="14" t="s">
        <v>69</v>
      </c>
      <c r="E39" s="14">
        <v>979</v>
      </c>
      <c r="F39" s="16"/>
      <c r="G39" s="14">
        <v>80</v>
      </c>
      <c r="H39" s="14">
        <f>Таблица11[[#This Row],[Cantitate venite]]*20</f>
        <v>19580</v>
      </c>
      <c r="I39" s="14">
        <v>19570</v>
      </c>
      <c r="J39" s="14">
        <f>Таблица11[[#This Row],[Cantitate kg]]-Таблица11[[#This Row],[Vandute kg]]</f>
        <v>10</v>
      </c>
      <c r="K39" s="14">
        <f>Таблица11[[#This Row],[Pret unitar/RON]]*Таблица11[[#This Row],[Vandute kg]]</f>
        <v>1565600</v>
      </c>
      <c r="L39" s="39"/>
    </row>
    <row r="40" spans="3:12" x14ac:dyDescent="0.25">
      <c r="C40" s="30"/>
      <c r="D40" s="14" t="s">
        <v>67</v>
      </c>
      <c r="E40" s="14">
        <v>132</v>
      </c>
      <c r="F40" s="16"/>
      <c r="G40" s="14">
        <v>3</v>
      </c>
      <c r="H40" s="14">
        <f>Таблица11[[#This Row],[Cantitate venite]]*20</f>
        <v>2640</v>
      </c>
      <c r="I40" s="14">
        <v>2639</v>
      </c>
      <c r="J40" s="14">
        <f>Таблица11[[#This Row],[Cantitate kg]]-Таблица11[[#This Row],[Vandute kg]]</f>
        <v>1</v>
      </c>
      <c r="K40" s="14">
        <f>Таблица11[[#This Row],[Pret unitar/RON]]*Таблица11[[#This Row],[Vandute kg]]</f>
        <v>7917</v>
      </c>
      <c r="L40" s="39"/>
    </row>
    <row r="41" spans="3:12" ht="15.75" x14ac:dyDescent="0.25">
      <c r="C41" s="40" t="s">
        <v>65</v>
      </c>
      <c r="D41" s="41"/>
      <c r="E41" s="41"/>
      <c r="F41" s="42"/>
      <c r="G41" s="41"/>
      <c r="H41" s="43">
        <f>SUM(Таблица11[Cantitate kg])</f>
        <v>950800</v>
      </c>
      <c r="I41" s="43">
        <f>SUM(Таблица11[Vandute kg])</f>
        <v>238570</v>
      </c>
      <c r="J41" s="43">
        <f>SUM(Таблица11[Vandute kg])</f>
        <v>238570</v>
      </c>
      <c r="K41" s="43">
        <f>SUM(Таблица11[Rest])</f>
        <v>712230</v>
      </c>
      <c r="L41" s="14"/>
    </row>
  </sheetData>
  <mergeCells count="12">
    <mergeCell ref="L5:L8"/>
    <mergeCell ref="L9:L15"/>
    <mergeCell ref="L16:L21"/>
    <mergeCell ref="L22:L28"/>
    <mergeCell ref="L29:L32"/>
    <mergeCell ref="L33:L40"/>
    <mergeCell ref="C5:C8"/>
    <mergeCell ref="C9:C15"/>
    <mergeCell ref="C16:C21"/>
    <mergeCell ref="C22:C28"/>
    <mergeCell ref="C29:C32"/>
    <mergeCell ref="C33:C40"/>
  </mergeCells>
  <conditionalFormatting sqref="J5:J40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MaxMin!$B$4:$B$23</xm:f>
          </x14:formula1>
          <xm:sqref>D9:D15</xm:sqref>
        </x14:dataValidation>
        <x14:dataValidation type="list" allowBlank="1" showInputMessage="1" showErrorMessage="1">
          <x14:formula1>
            <xm:f>MaxMin!$B$4:$B$34</xm:f>
          </x14:formula1>
          <xm:sqref>D16:D21</xm:sqref>
        </x14:dataValidation>
        <x14:dataValidation type="list" allowBlank="1" showInputMessage="1" showErrorMessage="1">
          <x14:formula1>
            <xm:f>MaxMin!$B$4:$B$33</xm:f>
          </x14:formula1>
          <xm:sqref>D5:D8 D22:D40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3:K20"/>
  <sheetViews>
    <sheetView zoomScale="70" zoomScaleNormal="70" workbookViewId="0">
      <selection activeCell="O16" sqref="N16:O16"/>
    </sheetView>
  </sheetViews>
  <sheetFormatPr defaultRowHeight="15" x14ac:dyDescent="0.25"/>
  <cols>
    <col min="1" max="1" width="6.140625" customWidth="1"/>
    <col min="2" max="2" width="36.85546875" customWidth="1"/>
    <col min="3" max="3" width="19.140625" customWidth="1"/>
    <col min="4" max="4" width="21.7109375" customWidth="1"/>
    <col min="5" max="5" width="19.42578125" customWidth="1"/>
    <col min="6" max="6" width="25.28515625" customWidth="1"/>
    <col min="7" max="7" width="18.140625" customWidth="1"/>
    <col min="8" max="8" width="34.140625" customWidth="1"/>
    <col min="9" max="9" width="23.140625" customWidth="1"/>
    <col min="10" max="10" width="16" customWidth="1"/>
    <col min="11" max="11" width="16.7109375" customWidth="1"/>
  </cols>
  <sheetData>
    <row r="3" spans="1:11" ht="30" customHeight="1" x14ac:dyDescent="0.25">
      <c r="E3" s="24" t="s">
        <v>88</v>
      </c>
      <c r="F3" s="24" t="s">
        <v>89</v>
      </c>
    </row>
    <row r="4" spans="1:11" x14ac:dyDescent="0.25">
      <c r="E4" s="25">
        <v>0.25</v>
      </c>
      <c r="F4" s="26">
        <v>0.75</v>
      </c>
    </row>
    <row r="7" spans="1:11" x14ac:dyDescent="0.25">
      <c r="A7" t="s">
        <v>57</v>
      </c>
      <c r="B7" t="s">
        <v>82</v>
      </c>
      <c r="C7" t="s">
        <v>84</v>
      </c>
      <c r="D7" t="s">
        <v>85</v>
      </c>
      <c r="E7" t="s">
        <v>83</v>
      </c>
      <c r="F7" t="s">
        <v>86</v>
      </c>
      <c r="G7" t="s">
        <v>87</v>
      </c>
      <c r="H7" t="s">
        <v>141</v>
      </c>
      <c r="I7" t="s">
        <v>142</v>
      </c>
      <c r="J7" t="s">
        <v>90</v>
      </c>
      <c r="K7" t="s">
        <v>143</v>
      </c>
    </row>
    <row r="8" spans="1:11" x14ac:dyDescent="0.25">
      <c r="A8" s="21">
        <v>1</v>
      </c>
      <c r="B8" s="14"/>
      <c r="C8" s="22">
        <v>8</v>
      </c>
      <c r="D8" s="22">
        <v>8</v>
      </c>
      <c r="E8" s="22">
        <v>22</v>
      </c>
      <c r="F8" s="31">
        <f>Таблица4[[#This Row],[Bani pe ora/RON]]*Таблица4[[#This Row],[Lucrate pe zi/ ORE]]</f>
        <v>64</v>
      </c>
      <c r="G8" s="31">
        <f>Таблица4[[#This Row],[Lucrate pe zi/ ORE]]*Таблица4[[#This Row],[Zilele lucrate/luna]]</f>
        <v>176</v>
      </c>
      <c r="H8" s="14">
        <v>10</v>
      </c>
      <c r="I8" s="14">
        <f>(Таблица4[[#This Row],[Bani pe ora/RON]]*E4+Таблица4[[#This Row],[Bani pe ora/RON]])*Таблица4[[#This Row],[Ore lucrate suplimentar/luna]]</f>
        <v>100</v>
      </c>
      <c r="J8" s="32">
        <f>Таблица4[[#This Row],[Zilele lucrate/luna]]*Таблица4[[#This Row],[Bani ptr ziua]]</f>
        <v>1408</v>
      </c>
      <c r="K8" s="20">
        <f>Таблица4[[#This Row],[Banii lucrate orele suplimenta]]+Таблица4[[#This Row],[Salariu/RON]]</f>
        <v>1508</v>
      </c>
    </row>
    <row r="9" spans="1:11" x14ac:dyDescent="0.25">
      <c r="A9" s="21">
        <v>2</v>
      </c>
      <c r="B9" s="14"/>
      <c r="C9" s="22">
        <v>7</v>
      </c>
      <c r="D9" s="22">
        <v>8</v>
      </c>
      <c r="E9" s="22">
        <v>22</v>
      </c>
      <c r="F9" s="31">
        <f>Таблица4[[#This Row],[Bani pe ora/RON]]*Таблица4[[#This Row],[Lucrate pe zi/ ORE]]</f>
        <v>56</v>
      </c>
      <c r="G9" s="31">
        <f>Таблица4[[#This Row],[Lucrate pe zi/ ORE]]*Таблица4[[#This Row],[Zilele lucrate/luna]]</f>
        <v>176</v>
      </c>
      <c r="H9" s="14">
        <v>30</v>
      </c>
      <c r="I9" s="14">
        <f>(Таблица4[[#This Row],[Bani pe ora/RON]]*D4+Таблица4[[#This Row],[Bani pe ora/RON]])*Таблица4[[#This Row],[Ore lucrate suplimentar/luna]]</f>
        <v>210</v>
      </c>
      <c r="J9" s="32">
        <f>Таблица4[[#This Row],[Zilele lucrate/luna]]*Таблица4[[#This Row],[Bani ptr ziua]]</f>
        <v>1232</v>
      </c>
      <c r="K9" s="20">
        <f>Таблица4[[#This Row],[Banii lucrate orele suplimenta]]+Таблица4[[#This Row],[Salariu/RON]]</f>
        <v>1442</v>
      </c>
    </row>
    <row r="10" spans="1:11" x14ac:dyDescent="0.25">
      <c r="A10" s="21">
        <v>3</v>
      </c>
      <c r="B10" s="14"/>
      <c r="C10" s="22">
        <v>10</v>
      </c>
      <c r="D10" s="22">
        <v>8</v>
      </c>
      <c r="E10" s="22">
        <v>21</v>
      </c>
      <c r="F10" s="31">
        <f>Таблица4[[#This Row],[Bani pe ora/RON]]*Таблица4[[#This Row],[Lucrate pe zi/ ORE]]</f>
        <v>80</v>
      </c>
      <c r="G10" s="31">
        <f>Таблица4[[#This Row],[Lucrate pe zi/ ORE]]*Таблица4[[#This Row],[Zilele lucrate/luna]]</f>
        <v>168</v>
      </c>
      <c r="H10" s="14"/>
      <c r="I10" s="14">
        <f>(Таблица4[[#This Row],[Bani pe ora/RON]]*D5+Таблица4[[#This Row],[Bani pe ora/RON]])*Таблица4[[#This Row],[Ore lucrate suplimentar/luna]]</f>
        <v>0</v>
      </c>
      <c r="J10" s="32">
        <f>Таблица4[[#This Row],[Zilele lucrate/luna]]*Таблица4[[#This Row],[Bani ptr ziua]]</f>
        <v>1680</v>
      </c>
      <c r="K10" s="20">
        <f>Таблица4[[#This Row],[Banii lucrate orele suplimenta]]+Таблица4[[#This Row],[Salariu/RON]]</f>
        <v>1680</v>
      </c>
    </row>
    <row r="11" spans="1:11" x14ac:dyDescent="0.25">
      <c r="A11" s="21">
        <v>4</v>
      </c>
      <c r="B11" s="14"/>
      <c r="C11" s="22">
        <v>12</v>
      </c>
      <c r="D11" s="22">
        <v>8</v>
      </c>
      <c r="E11" s="22">
        <v>20</v>
      </c>
      <c r="F11" s="31">
        <f>Таблица4[[#This Row],[Bani pe ora/RON]]*Таблица4[[#This Row],[Lucrate pe zi/ ORE]]</f>
        <v>96</v>
      </c>
      <c r="G11" s="31">
        <f>Таблица4[[#This Row],[Lucrate pe zi/ ORE]]*Таблица4[[#This Row],[Zilele lucrate/luna]]</f>
        <v>160</v>
      </c>
      <c r="H11" s="14">
        <v>20</v>
      </c>
      <c r="I11" s="14">
        <f>(Таблица4[[#This Row],[Bani pe ora/RON]]*D6+Таблица4[[#This Row],[Bani pe ora/RON]])*Таблица4[[#This Row],[Ore lucrate suplimentar/luna]]</f>
        <v>240</v>
      </c>
      <c r="J11" s="32">
        <f>Таблица4[[#This Row],[Zilele lucrate/luna]]*Таблица4[[#This Row],[Bani ptr ziua]]</f>
        <v>1920</v>
      </c>
      <c r="K11" s="20">
        <f>Таблица4[[#This Row],[Banii lucrate orele suplimenta]]+Таблица4[[#This Row],[Salariu/RON]]</f>
        <v>2160</v>
      </c>
    </row>
    <row r="12" spans="1:11" x14ac:dyDescent="0.25">
      <c r="A12" s="21">
        <v>5</v>
      </c>
      <c r="B12" s="14"/>
      <c r="C12" s="22">
        <v>15</v>
      </c>
      <c r="D12" s="22">
        <v>8</v>
      </c>
      <c r="E12" s="22">
        <v>22</v>
      </c>
      <c r="F12" s="31">
        <f>Таблица4[[#This Row],[Bani pe ora/RON]]*Таблица4[[#This Row],[Lucrate pe zi/ ORE]]</f>
        <v>120</v>
      </c>
      <c r="G12" s="31">
        <f>Таблица4[[#This Row],[Lucrate pe zi/ ORE]]*Таблица4[[#This Row],[Zilele lucrate/luna]]</f>
        <v>176</v>
      </c>
      <c r="H12" s="14"/>
      <c r="I12" s="14">
        <f>(E4*Таблица4[[#This Row],[Bani pe ora/RON]]+Таблица4[[#This Row],[Bani pe ora/RON]])*Таблица4[[#This Row],[Ore lucrate suplimentar/luna]]</f>
        <v>0</v>
      </c>
      <c r="J12" s="32">
        <f>Таблица4[[#This Row],[Zilele lucrate/luna]]*Таблица4[[#This Row],[Bani ptr ziua]]</f>
        <v>2640</v>
      </c>
      <c r="K12" s="20">
        <f>Таблица4[[#This Row],[Banii lucrate orele suplimenta]]+Таблица4[[#This Row],[Salariu/RON]]</f>
        <v>2640</v>
      </c>
    </row>
    <row r="13" spans="1:11" x14ac:dyDescent="0.25">
      <c r="A13" s="21">
        <v>6</v>
      </c>
      <c r="B13" s="14"/>
      <c r="C13" s="22">
        <v>17</v>
      </c>
      <c r="D13" s="22">
        <v>8</v>
      </c>
      <c r="E13" s="22">
        <v>20</v>
      </c>
      <c r="F13" s="31">
        <f>Таблица4[[#This Row],[Bani pe ora/RON]]*Таблица4[[#This Row],[Lucrate pe zi/ ORE]]</f>
        <v>136</v>
      </c>
      <c r="G13" s="31">
        <f>Таблица4[[#This Row],[Lucrate pe zi/ ORE]]*Таблица4[[#This Row],[Zilele lucrate/luna]]</f>
        <v>160</v>
      </c>
      <c r="H13" s="14">
        <v>30</v>
      </c>
      <c r="I13" s="14">
        <f>(Таблица4[[#This Row],[Bani pe ora/RON]]*D8+Таблица4[[#This Row],[Bani pe ora/RON]])*Таблица4[[#This Row],[Ore lucrate suplimentar/luna]]</f>
        <v>4590</v>
      </c>
      <c r="J13" s="32">
        <f>Таблица4[[#This Row],[Zilele lucrate/luna]]*Таблица4[[#This Row],[Bani ptr ziua]]</f>
        <v>2720</v>
      </c>
      <c r="K13" s="20">
        <f>Таблица4[[#This Row],[Banii lucrate orele suplimenta]]+Таблица4[[#This Row],[Salariu/RON]]</f>
        <v>7310</v>
      </c>
    </row>
    <row r="14" spans="1:11" x14ac:dyDescent="0.25">
      <c r="A14" s="21">
        <v>7</v>
      </c>
      <c r="B14" s="14"/>
      <c r="C14" s="22">
        <v>8</v>
      </c>
      <c r="D14" s="22">
        <v>8</v>
      </c>
      <c r="E14" s="22">
        <v>22</v>
      </c>
      <c r="F14" s="31">
        <f>Таблица4[[#This Row],[Bani pe ora/RON]]*Таблица4[[#This Row],[Lucrate pe zi/ ORE]]</f>
        <v>64</v>
      </c>
      <c r="G14" s="31">
        <f>Таблица4[[#This Row],[Lucrate pe zi/ ORE]]*Таблица4[[#This Row],[Zilele lucrate/luna]]</f>
        <v>176</v>
      </c>
      <c r="H14" s="14"/>
      <c r="I14" s="14">
        <f>(Таблица4[[#This Row],[Bani pe ora/RON]]*D9+Таблица4[[#This Row],[Bani pe ora/RON]])*Таблица4[[#This Row],[Ore lucrate suplimentar/luna]]</f>
        <v>0</v>
      </c>
      <c r="J14" s="32">
        <f>Таблица4[[#This Row],[Zilele lucrate/luna]]*Таблица4[[#This Row],[Bani ptr ziua]]</f>
        <v>1408</v>
      </c>
      <c r="K14" s="20">
        <f>Таблица4[[#This Row],[Banii lucrate orele suplimenta]]+Таблица4[[#This Row],[Salariu/RON]]</f>
        <v>1408</v>
      </c>
    </row>
    <row r="15" spans="1:11" x14ac:dyDescent="0.25">
      <c r="A15" s="21">
        <v>8</v>
      </c>
      <c r="B15" s="14"/>
      <c r="C15" s="22">
        <v>13</v>
      </c>
      <c r="D15" s="22">
        <v>8</v>
      </c>
      <c r="E15" s="22">
        <v>22</v>
      </c>
      <c r="F15" s="31">
        <f>Таблица4[[#This Row],[Bani pe ora/RON]]*Таблица4[[#This Row],[Lucrate pe zi/ ORE]]</f>
        <v>104</v>
      </c>
      <c r="G15" s="31">
        <f>Таблица4[[#This Row],[Lucrate pe zi/ ORE]]*Таблица4[[#This Row],[Zilele lucrate/luna]]</f>
        <v>176</v>
      </c>
      <c r="H15" s="14"/>
      <c r="I15" s="14">
        <f>(Таблица4[[#This Row],[Bani pe ora/RON]]*D10+Таблица4[[#This Row],[Bani pe ora/RON]])*Таблица4[[#This Row],[Ore lucrate suplimentar/luna]]</f>
        <v>0</v>
      </c>
      <c r="J15" s="32">
        <f>Таблица4[[#This Row],[Zilele lucrate/luna]]*Таблица4[[#This Row],[Bani ptr ziua]]</f>
        <v>2288</v>
      </c>
      <c r="K15" s="20">
        <f>Таблица4[[#This Row],[Banii lucrate orele suplimenta]]+Таблица4[[#This Row],[Salariu/RON]]</f>
        <v>2288</v>
      </c>
    </row>
    <row r="16" spans="1:11" x14ac:dyDescent="0.25">
      <c r="A16" s="21">
        <v>9</v>
      </c>
      <c r="B16" s="14"/>
      <c r="C16" s="22">
        <v>14</v>
      </c>
      <c r="D16" s="22">
        <v>8</v>
      </c>
      <c r="E16" s="22">
        <v>20</v>
      </c>
      <c r="F16" s="31">
        <f>Таблица4[[#This Row],[Bani pe ora/RON]]*Таблица4[[#This Row],[Lucrate pe zi/ ORE]]</f>
        <v>112</v>
      </c>
      <c r="G16" s="31">
        <f>Таблица4[[#This Row],[Lucrate pe zi/ ORE]]*Таблица4[[#This Row],[Zilele lucrate/luna]]</f>
        <v>160</v>
      </c>
      <c r="H16" s="14"/>
      <c r="I16" s="14">
        <f>(Таблица4[[#This Row],[Bani pe ora/RON]]*D11+Таблица4[[#This Row],[Bani pe ora/RON]])*Таблица4[[#This Row],[Ore lucrate suplimentar/luna]]</f>
        <v>0</v>
      </c>
      <c r="J16" s="32">
        <f>Таблица4[[#This Row],[Zilele lucrate/luna]]*Таблица4[[#This Row],[Bani ptr ziua]]</f>
        <v>2240</v>
      </c>
      <c r="K16" s="20">
        <f>Таблица4[[#This Row],[Banii lucrate orele suplimenta]]+Таблица4[[#This Row],[Salariu/RON]]</f>
        <v>2240</v>
      </c>
    </row>
    <row r="17" spans="1:11" x14ac:dyDescent="0.25">
      <c r="A17" s="21">
        <v>10</v>
      </c>
      <c r="B17" s="14"/>
      <c r="C17" s="22">
        <v>19</v>
      </c>
      <c r="D17" s="22">
        <v>8</v>
      </c>
      <c r="E17" s="22">
        <v>21</v>
      </c>
      <c r="F17" s="31">
        <f>Таблица4[[#This Row],[Bani pe ora/RON]]*Таблица4[[#This Row],[Lucrate pe zi/ ORE]]</f>
        <v>152</v>
      </c>
      <c r="G17" s="31">
        <f>Таблица4[[#This Row],[Lucrate pe zi/ ORE]]*Таблица4[[#This Row],[Zilele lucrate/luna]]</f>
        <v>168</v>
      </c>
      <c r="H17" s="14">
        <v>25</v>
      </c>
      <c r="I17" s="14">
        <f>(Таблица4[[#This Row],[Bani pe ora/RON]]*D12+Таблица4[[#This Row],[Bani pe ora/RON]])*Таблица4[[#This Row],[Ore lucrate suplimentar/luna]]</f>
        <v>4275</v>
      </c>
      <c r="J17" s="32">
        <f>Таблица4[[#This Row],[Zilele lucrate/luna]]*Таблица4[[#This Row],[Bani ptr ziua]]</f>
        <v>3192</v>
      </c>
      <c r="K17" s="20">
        <f>Таблица4[[#This Row],[Banii lucrate orele suplimenta]]+Таблица4[[#This Row],[Salariu/RON]]</f>
        <v>7467</v>
      </c>
    </row>
    <row r="18" spans="1:11" x14ac:dyDescent="0.25">
      <c r="A18" s="21">
        <v>11</v>
      </c>
      <c r="B18" s="14"/>
      <c r="C18" s="22">
        <v>20</v>
      </c>
      <c r="D18" s="22">
        <v>8</v>
      </c>
      <c r="E18" s="22">
        <v>22</v>
      </c>
      <c r="F18" s="31">
        <f>Таблица4[[#This Row],[Bani pe ora/RON]]*Таблица4[[#This Row],[Lucrate pe zi/ ORE]]</f>
        <v>160</v>
      </c>
      <c r="G18" s="31">
        <f>Таблица4[[#This Row],[Lucrate pe zi/ ORE]]*Таблица4[[#This Row],[Zilele lucrate/luna]]</f>
        <v>176</v>
      </c>
      <c r="H18" s="14"/>
      <c r="I18" s="14">
        <f>(Таблица4[[#This Row],[Bani pe ora/RON]]*D13+Таблица4[[#This Row],[Bani pe ora/RON]])*Таблица4[[#This Row],[Ore lucrate suplimentar/luna]]</f>
        <v>0</v>
      </c>
      <c r="J18" s="32">
        <f>Таблица4[[#This Row],[Zilele lucrate/luna]]*Таблица4[[#This Row],[Bani ptr ziua]]</f>
        <v>3520</v>
      </c>
      <c r="K18" s="20">
        <f>Таблица4[[#This Row],[Banii lucrate orele suplimenta]]+Таблица4[[#This Row],[Salariu/RON]]</f>
        <v>3520</v>
      </c>
    </row>
    <row r="19" spans="1:11" x14ac:dyDescent="0.25">
      <c r="A19" s="21">
        <v>12</v>
      </c>
      <c r="B19" s="14"/>
      <c r="C19" s="22">
        <v>15</v>
      </c>
      <c r="D19" s="22">
        <v>8</v>
      </c>
      <c r="E19" s="22">
        <v>22</v>
      </c>
      <c r="F19" s="31">
        <f>Таблица4[[#This Row],[Bani pe ora/RON]]*Таблица4[[#This Row],[Lucrate pe zi/ ORE]]</f>
        <v>120</v>
      </c>
      <c r="G19" s="31">
        <f>Таблица4[[#This Row],[Lucrate pe zi/ ORE]]*Таблица4[[#This Row],[Zilele lucrate/luna]]</f>
        <v>176</v>
      </c>
      <c r="H19" s="14">
        <v>20</v>
      </c>
      <c r="I19" s="14">
        <f>(Таблица4[[#This Row],[Bani pe ora/RON]]*D14+Таблица4[[#This Row],[Bani pe ora/RON]])*Таблица4[[#This Row],[Ore lucrate suplimentar/luna]]</f>
        <v>2700</v>
      </c>
      <c r="J19" s="32">
        <f>Таблица4[[#This Row],[Zilele lucrate/luna]]*Таблица4[[#This Row],[Bani ptr ziua]]</f>
        <v>2640</v>
      </c>
      <c r="K19" s="20">
        <f>Таблица4[[#This Row],[Banii lucrate orele suplimenta]]+Таблица4[[#This Row],[Salariu/RON]]</f>
        <v>5340</v>
      </c>
    </row>
    <row r="20" spans="1:11" x14ac:dyDescent="0.25">
      <c r="A20" s="28" t="s">
        <v>65</v>
      </c>
      <c r="B20" s="28"/>
      <c r="C20" s="28">
        <f>SUM(C8:C19)</f>
        <v>158</v>
      </c>
      <c r="D20" s="28">
        <f>SUM(D8:D19)</f>
        <v>96</v>
      </c>
      <c r="E20" s="28">
        <f>SUM(E8:E19)</f>
        <v>256</v>
      </c>
      <c r="F20" s="28">
        <f t="shared" ref="F20:G20" si="0">SUM(F8:F19)</f>
        <v>1264</v>
      </c>
      <c r="G20" s="28">
        <f>SUM(G8:G19)</f>
        <v>2048</v>
      </c>
      <c r="H20" s="28"/>
      <c r="I20" s="28">
        <f>(Таблица4[[#This Row],[Bani pe ora/RON]]*D15+Таблица4[[#This Row],[Bani pe ora/RON]])*Таблица4[[#This Row],[Ore lucrate suplimentar/luna]]</f>
        <v>0</v>
      </c>
      <c r="J20" s="28">
        <f>Таблица4[[#This Row],[Zilele lucrate/luna]]*Таблица4[[#This Row],[Bani ptr ziua]]</f>
        <v>323584</v>
      </c>
      <c r="K20" s="20">
        <f>Таблица4[[#This Row],[Banii lucrate orele suplimenta]]+Таблица4[[#This Row],[Salariu/RON]]</f>
        <v>323584</v>
      </c>
    </row>
  </sheetData>
  <dataValidations count="2">
    <dataValidation type="custom" allowBlank="1" showInputMessage="1" showErrorMessage="1" errorTitle="INTRODUSE GRESIT" error="Va rog sa introduceti mai mic decat 8 ore pe zi_x000a_" sqref="D8:D19">
      <formula1>D8&lt;=8</formula1>
    </dataValidation>
    <dataValidation type="custom" allowBlank="1" showInputMessage="1" showErrorMessage="1" errorTitle="INTRODUSE GRESIT" error="Va rog sa introduceti mai mic decat 22 zile pe luna_x000a_" sqref="E8:E19">
      <formula1>E8&lt;=22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4:N29"/>
  <sheetViews>
    <sheetView workbookViewId="0">
      <selection activeCell="F14" sqref="F14"/>
    </sheetView>
  </sheetViews>
  <sheetFormatPr defaultRowHeight="15" x14ac:dyDescent="0.25"/>
  <cols>
    <col min="2" max="2" width="27" customWidth="1"/>
    <col min="4" max="4" width="20.85546875" customWidth="1"/>
    <col min="6" max="6" width="20.28515625" customWidth="1"/>
    <col min="8" max="8" width="18.28515625" customWidth="1"/>
  </cols>
  <sheetData>
    <row r="4" spans="2:14" x14ac:dyDescent="0.25">
      <c r="B4" s="3" t="s">
        <v>3</v>
      </c>
      <c r="D4" s="4" t="s">
        <v>0</v>
      </c>
      <c r="F4" s="7" t="s">
        <v>1</v>
      </c>
      <c r="H4" s="9" t="s">
        <v>12</v>
      </c>
      <c r="K4" t="s">
        <v>145</v>
      </c>
      <c r="L4" t="s">
        <v>148</v>
      </c>
      <c r="M4" t="s">
        <v>149</v>
      </c>
      <c r="N4" t="s">
        <v>150</v>
      </c>
    </row>
    <row r="5" spans="2:14" x14ac:dyDescent="0.25">
      <c r="B5" s="2" t="s">
        <v>27</v>
      </c>
      <c r="D5" s="6" t="s">
        <v>131</v>
      </c>
      <c r="F5" s="8" t="s">
        <v>127</v>
      </c>
      <c r="H5" s="11" t="s">
        <v>13</v>
      </c>
      <c r="K5" t="s">
        <v>151</v>
      </c>
      <c r="L5" t="s">
        <v>152</v>
      </c>
      <c r="M5" t="s">
        <v>153</v>
      </c>
    </row>
    <row r="6" spans="2:14" x14ac:dyDescent="0.25">
      <c r="B6" s="2" t="s">
        <v>5</v>
      </c>
      <c r="D6" s="6" t="s">
        <v>132</v>
      </c>
      <c r="F6" s="8" t="s">
        <v>128</v>
      </c>
      <c r="H6" s="11" t="s">
        <v>14</v>
      </c>
      <c r="K6" t="s">
        <v>146</v>
      </c>
    </row>
    <row r="7" spans="2:14" x14ac:dyDescent="0.25">
      <c r="B7" s="2" t="s">
        <v>6</v>
      </c>
      <c r="D7" s="6" t="s">
        <v>133</v>
      </c>
      <c r="F7" s="8" t="s">
        <v>125</v>
      </c>
      <c r="H7" s="11" t="s">
        <v>15</v>
      </c>
      <c r="K7" t="s">
        <v>147</v>
      </c>
    </row>
    <row r="8" spans="2:14" x14ac:dyDescent="0.25">
      <c r="B8" s="2" t="s">
        <v>26</v>
      </c>
      <c r="D8" s="6" t="s">
        <v>134</v>
      </c>
      <c r="F8" s="8" t="s">
        <v>126</v>
      </c>
      <c r="H8" s="11" t="s">
        <v>16</v>
      </c>
    </row>
    <row r="9" spans="2:14" x14ac:dyDescent="0.25">
      <c r="B9" s="2" t="s">
        <v>28</v>
      </c>
      <c r="D9" s="6"/>
      <c r="F9" s="8" t="s">
        <v>50</v>
      </c>
      <c r="H9" s="11"/>
    </row>
    <row r="10" spans="2:14" x14ac:dyDescent="0.25">
      <c r="B10" s="2" t="s">
        <v>35</v>
      </c>
      <c r="D10" s="6"/>
      <c r="F10" s="8" t="s">
        <v>52</v>
      </c>
      <c r="H10" s="11"/>
    </row>
    <row r="11" spans="2:14" x14ac:dyDescent="0.25">
      <c r="B11" s="2"/>
      <c r="D11" s="6"/>
      <c r="F11" s="8"/>
      <c r="H11" s="11"/>
    </row>
    <row r="14" spans="2:14" x14ac:dyDescent="0.25">
      <c r="B14" s="3" t="s">
        <v>2</v>
      </c>
      <c r="D14" s="10" t="s">
        <v>32</v>
      </c>
      <c r="F14" s="29"/>
      <c r="G14" s="44"/>
    </row>
    <row r="15" spans="2:14" x14ac:dyDescent="0.25">
      <c r="B15" s="5" t="s">
        <v>17</v>
      </c>
      <c r="D15" s="17" t="s">
        <v>30</v>
      </c>
      <c r="F15" s="44"/>
      <c r="G15" s="44"/>
    </row>
    <row r="16" spans="2:14" x14ac:dyDescent="0.25">
      <c r="B16" s="5" t="s">
        <v>18</v>
      </c>
      <c r="D16" s="3" t="s">
        <v>31</v>
      </c>
      <c r="F16" s="44"/>
      <c r="G16" s="44"/>
    </row>
    <row r="17" spans="2:7" x14ac:dyDescent="0.25">
      <c r="B17" s="5" t="s">
        <v>19</v>
      </c>
      <c r="D17" s="13" t="s">
        <v>33</v>
      </c>
      <c r="F17" s="44"/>
      <c r="G17" s="44"/>
    </row>
    <row r="18" spans="2:7" x14ac:dyDescent="0.25">
      <c r="B18" s="5" t="s">
        <v>20</v>
      </c>
      <c r="D18" s="13" t="s">
        <v>34</v>
      </c>
      <c r="F18" s="44"/>
      <c r="G18" s="44"/>
    </row>
    <row r="19" spans="2:7" x14ac:dyDescent="0.25">
      <c r="B19" s="5" t="s">
        <v>21</v>
      </c>
      <c r="D19" s="13"/>
    </row>
    <row r="20" spans="2:7" x14ac:dyDescent="0.25">
      <c r="B20" s="5" t="s">
        <v>36</v>
      </c>
      <c r="D20" s="13"/>
    </row>
    <row r="21" spans="2:7" x14ac:dyDescent="0.25">
      <c r="B21" s="5" t="s">
        <v>37</v>
      </c>
      <c r="D21" s="13"/>
    </row>
    <row r="22" spans="2:7" x14ac:dyDescent="0.25">
      <c r="B22" s="5" t="s">
        <v>38</v>
      </c>
      <c r="D22" s="13"/>
    </row>
    <row r="23" spans="2:7" x14ac:dyDescent="0.25">
      <c r="B23" s="5" t="s">
        <v>39</v>
      </c>
    </row>
    <row r="24" spans="2:7" x14ac:dyDescent="0.25">
      <c r="B24" s="5" t="s">
        <v>40</v>
      </c>
    </row>
    <row r="25" spans="2:7" x14ac:dyDescent="0.25">
      <c r="B25" s="5" t="s">
        <v>41</v>
      </c>
    </row>
    <row r="26" spans="2:7" x14ac:dyDescent="0.25">
      <c r="B26" s="5" t="s">
        <v>42</v>
      </c>
    </row>
    <row r="27" spans="2:7" x14ac:dyDescent="0.25">
      <c r="B27" s="5" t="s">
        <v>43</v>
      </c>
    </row>
    <row r="28" spans="2:7" x14ac:dyDescent="0.25">
      <c r="B28" s="5" t="s">
        <v>44</v>
      </c>
    </row>
    <row r="29" spans="2:7" x14ac:dyDescent="0.25">
      <c r="B29" s="5" t="s">
        <v>45</v>
      </c>
    </row>
  </sheetData>
  <dataValidations count="2">
    <dataValidation type="list" allowBlank="1" showInputMessage="1" showErrorMessage="1" sqref="H14">
      <formula1>$B$5:$B$10</formula1>
    </dataValidation>
    <dataValidation type="list" allowBlank="1" showInputMessage="1" showErrorMessage="1" sqref="K5">
      <formula1>$H$5:$H$8</formula1>
    </dataValidation>
  </dataValidations>
  <hyperlinks>
    <hyperlink ref="B29" r:id="rId1" tooltip="Alba Iulia" display="https://ro.wikipedia.org/wiki/Alba_Iulia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Baza de date</vt:lpstr>
      <vt:lpstr>MaxMin</vt:lpstr>
      <vt:lpstr>Cantitate</vt:lpstr>
      <vt:lpstr>Salariu personal</vt:lpstr>
      <vt:lpstr>Ghid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2021-06-11T18:09:39Z</dcterms:modified>
</cp:coreProperties>
</file>